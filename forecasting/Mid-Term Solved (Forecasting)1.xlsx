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ya\Desktop\forecasting\"/>
    </mc:Choice>
  </mc:AlternateContent>
  <xr:revisionPtr revIDLastSave="0" documentId="13_ncr:1_{B3639D0F-969B-45CA-BE8F-79C690721FAC}" xr6:coauthVersionLast="47" xr6:coauthVersionMax="47" xr10:uidLastSave="{00000000-0000-0000-0000-000000000000}"/>
  <bookViews>
    <workbookView xWindow="1440" yWindow="1440" windowWidth="19562" windowHeight="10162" activeTab="2" xr2:uid="{651CA918-894A-4C57-A536-44BCAEF9AEAC}"/>
  </bookViews>
  <sheets>
    <sheet name="Simple Moving Average" sheetId="1" r:id="rId1"/>
    <sheet name="Weighted Moving Average" sheetId="2" r:id="rId2"/>
    <sheet name="Double Moving Average" sheetId="3" r:id="rId3"/>
    <sheet name="Exponential Smoothning" sheetId="4" r:id="rId4"/>
  </sheets>
  <definedNames>
    <definedName name="solver_adj" localSheetId="3" hidden="1">'Exponential Smoothning'!$N$2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lhs1" localSheetId="3" hidden="1">'Exponential Smoothning'!$N$2</definedName>
    <definedName name="solver_lhs2" localSheetId="3" hidden="1">'Exponential Smoothning'!$N$2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2</definedName>
    <definedName name="solver_nwt" localSheetId="3" hidden="1">1</definedName>
    <definedName name="solver_opt" localSheetId="3" hidden="1">'Exponential Smoothning'!$N$3</definedName>
    <definedName name="solver_pre" localSheetId="3" hidden="1">0.000001</definedName>
    <definedName name="solver_rbv" localSheetId="3" hidden="1">1</definedName>
    <definedName name="solver_rel1" localSheetId="3" hidden="1">1</definedName>
    <definedName name="solver_rel2" localSheetId="3" hidden="1">3</definedName>
    <definedName name="solver_rhs1" localSheetId="3" hidden="1">0.9999</definedName>
    <definedName name="solver_rhs2" localSheetId="3" hidden="1">0.0001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2</definedName>
    <definedName name="solver_val" localSheetId="3" hidden="1">0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" i="3" l="1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G23" i="3" s="1"/>
  <c r="H23" i="3" s="1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G52" i="3" s="1"/>
  <c r="H52" i="3" s="1"/>
  <c r="E52" i="3"/>
  <c r="E53" i="3"/>
  <c r="E54" i="3"/>
  <c r="E55" i="3"/>
  <c r="E56" i="3"/>
  <c r="E57" i="3"/>
  <c r="E58" i="3"/>
  <c r="E8" i="3"/>
  <c r="C6" i="1"/>
  <c r="C3" i="4"/>
  <c r="C2" i="4"/>
  <c r="F8" i="3"/>
  <c r="D8" i="3"/>
  <c r="C60" i="1"/>
  <c r="C59" i="1"/>
  <c r="C12" i="1"/>
  <c r="C10" i="1"/>
  <c r="D10" i="1" s="1"/>
  <c r="C8" i="1"/>
  <c r="D8" i="1" s="1"/>
  <c r="C7" i="1"/>
  <c r="G61" i="3"/>
  <c r="G60" i="3"/>
  <c r="G59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C5" i="3"/>
  <c r="G10" i="3"/>
  <c r="H10" i="3" s="1"/>
  <c r="G11" i="3"/>
  <c r="H11" i="3" s="1"/>
  <c r="G12" i="3"/>
  <c r="H12" i="3" s="1"/>
  <c r="G13" i="3"/>
  <c r="H13" i="3" s="1"/>
  <c r="G14" i="3"/>
  <c r="H14" i="3" s="1"/>
  <c r="G15" i="3"/>
  <c r="H15" i="3" s="1"/>
  <c r="G16" i="3"/>
  <c r="H16" i="3" s="1"/>
  <c r="G17" i="3"/>
  <c r="H17" i="3" s="1"/>
  <c r="G18" i="3"/>
  <c r="H18" i="3" s="1"/>
  <c r="G19" i="3"/>
  <c r="H19" i="3" s="1"/>
  <c r="G20" i="3"/>
  <c r="H20" i="3" s="1"/>
  <c r="G21" i="3"/>
  <c r="H21" i="3" s="1"/>
  <c r="G22" i="3"/>
  <c r="H22" i="3" s="1"/>
  <c r="G24" i="3"/>
  <c r="H24" i="3" s="1"/>
  <c r="G25" i="3"/>
  <c r="H25" i="3" s="1"/>
  <c r="G26" i="3"/>
  <c r="H26" i="3" s="1"/>
  <c r="G27" i="3"/>
  <c r="H27" i="3" s="1"/>
  <c r="G28" i="3"/>
  <c r="H28" i="3" s="1"/>
  <c r="G29" i="3"/>
  <c r="H29" i="3" s="1"/>
  <c r="G30" i="3"/>
  <c r="H30" i="3" s="1"/>
  <c r="G31" i="3"/>
  <c r="H31" i="3" s="1"/>
  <c r="G32" i="3"/>
  <c r="H32" i="3" s="1"/>
  <c r="G33" i="3"/>
  <c r="H33" i="3" s="1"/>
  <c r="G34" i="3"/>
  <c r="H34" i="3" s="1"/>
  <c r="G35" i="3"/>
  <c r="H35" i="3" s="1"/>
  <c r="G36" i="3"/>
  <c r="H36" i="3" s="1"/>
  <c r="G37" i="3"/>
  <c r="H37" i="3" s="1"/>
  <c r="G38" i="3"/>
  <c r="H38" i="3" s="1"/>
  <c r="G39" i="3"/>
  <c r="H39" i="3" s="1"/>
  <c r="G40" i="3"/>
  <c r="H40" i="3" s="1"/>
  <c r="G41" i="3"/>
  <c r="H41" i="3" s="1"/>
  <c r="G42" i="3"/>
  <c r="G43" i="3"/>
  <c r="H43" i="3" s="1"/>
  <c r="G44" i="3"/>
  <c r="H44" i="3" s="1"/>
  <c r="G45" i="3"/>
  <c r="H45" i="3" s="1"/>
  <c r="G46" i="3"/>
  <c r="H46" i="3" s="1"/>
  <c r="G47" i="3"/>
  <c r="H47" i="3" s="1"/>
  <c r="G48" i="3"/>
  <c r="H48" i="3" s="1"/>
  <c r="G49" i="3"/>
  <c r="H49" i="3" s="1"/>
  <c r="G50" i="3"/>
  <c r="H50" i="3" s="1"/>
  <c r="G51" i="3"/>
  <c r="H51" i="3" s="1"/>
  <c r="G53" i="3"/>
  <c r="H53" i="3" s="1"/>
  <c r="G54" i="3"/>
  <c r="H54" i="3" s="1"/>
  <c r="G55" i="3"/>
  <c r="H55" i="3" s="1"/>
  <c r="G56" i="3"/>
  <c r="H56" i="3" s="1"/>
  <c r="G57" i="3"/>
  <c r="H57" i="3" s="1"/>
  <c r="G58" i="3"/>
  <c r="H58" i="3" s="1"/>
  <c r="H42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O13" i="2"/>
  <c r="C60" i="2"/>
  <c r="N6" i="2"/>
  <c r="C9" i="1"/>
  <c r="C11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C51" i="1"/>
  <c r="C52" i="1"/>
  <c r="C53" i="1"/>
  <c r="C54" i="1"/>
  <c r="C55" i="1"/>
  <c r="C56" i="1"/>
  <c r="C57" i="1"/>
  <c r="C58" i="1"/>
  <c r="G62" i="3" l="1"/>
  <c r="G63" i="3"/>
  <c r="G64" i="3"/>
  <c r="G65" i="3"/>
  <c r="G66" i="3"/>
  <c r="G67" i="3"/>
  <c r="G68" i="3"/>
  <c r="G69" i="3"/>
  <c r="G70" i="3"/>
  <c r="M10" i="3"/>
  <c r="N10" i="3" s="1"/>
  <c r="K10" i="3"/>
  <c r="M11" i="3"/>
  <c r="N11" i="3" s="1"/>
  <c r="K11" i="3"/>
  <c r="M12" i="3"/>
  <c r="N12" i="3" s="1"/>
  <c r="K12" i="3"/>
  <c r="M13" i="3"/>
  <c r="N13" i="3" s="1"/>
  <c r="K13" i="3"/>
  <c r="M14" i="3"/>
  <c r="N14" i="3" s="1"/>
  <c r="K14" i="3"/>
  <c r="K15" i="3"/>
  <c r="M15" i="3"/>
  <c r="N15" i="3" s="1"/>
  <c r="K16" i="3"/>
  <c r="M16" i="3"/>
  <c r="N16" i="3" s="1"/>
  <c r="M17" i="3"/>
  <c r="N17" i="3" s="1"/>
  <c r="K17" i="3"/>
  <c r="K18" i="3"/>
  <c r="M18" i="3"/>
  <c r="N18" i="3" s="1"/>
  <c r="K19" i="3"/>
  <c r="M19" i="3"/>
  <c r="N19" i="3" s="1"/>
  <c r="M20" i="3"/>
  <c r="N20" i="3" s="1"/>
  <c r="K20" i="3"/>
  <c r="M21" i="3"/>
  <c r="N21" i="3" s="1"/>
  <c r="K21" i="3"/>
  <c r="M22" i="3"/>
  <c r="N22" i="3" s="1"/>
  <c r="K22" i="3"/>
  <c r="K23" i="3"/>
  <c r="M23" i="3"/>
  <c r="N23" i="3" s="1"/>
  <c r="M24" i="3"/>
  <c r="N24" i="3" s="1"/>
  <c r="K24" i="3"/>
  <c r="M25" i="3"/>
  <c r="N25" i="3" s="1"/>
  <c r="K25" i="3"/>
  <c r="M26" i="3"/>
  <c r="N26" i="3" s="1"/>
  <c r="K26" i="3"/>
  <c r="K27" i="3"/>
  <c r="M27" i="3"/>
  <c r="N27" i="3" s="1"/>
  <c r="K28" i="3"/>
  <c r="M28" i="3"/>
  <c r="N28" i="3" s="1"/>
  <c r="M29" i="3"/>
  <c r="N29" i="3" s="1"/>
  <c r="K29" i="3"/>
  <c r="K30" i="3"/>
  <c r="M30" i="3"/>
  <c r="N30" i="3" s="1"/>
  <c r="M31" i="3"/>
  <c r="N31" i="3" s="1"/>
  <c r="K31" i="3"/>
  <c r="M32" i="3"/>
  <c r="N32" i="3" s="1"/>
  <c r="K32" i="3"/>
  <c r="M33" i="3"/>
  <c r="N33" i="3" s="1"/>
  <c r="K33" i="3"/>
  <c r="M34" i="3"/>
  <c r="N34" i="3" s="1"/>
  <c r="K34" i="3"/>
  <c r="M35" i="3"/>
  <c r="N35" i="3" s="1"/>
  <c r="K35" i="3"/>
  <c r="M36" i="3"/>
  <c r="N36" i="3" s="1"/>
  <c r="K36" i="3"/>
  <c r="K37" i="3"/>
  <c r="M37" i="3"/>
  <c r="N37" i="3" s="1"/>
  <c r="K38" i="3"/>
  <c r="M38" i="3"/>
  <c r="N38" i="3" s="1"/>
  <c r="K39" i="3"/>
  <c r="M39" i="3"/>
  <c r="N39" i="3" s="1"/>
  <c r="K40" i="3"/>
  <c r="M40" i="3"/>
  <c r="N40" i="3" s="1"/>
  <c r="K41" i="3"/>
  <c r="M41" i="3"/>
  <c r="N41" i="3" s="1"/>
  <c r="M42" i="3"/>
  <c r="N42" i="3" s="1"/>
  <c r="K42" i="3"/>
  <c r="K43" i="3"/>
  <c r="M43" i="3"/>
  <c r="N43" i="3" s="1"/>
  <c r="M44" i="3"/>
  <c r="N44" i="3" s="1"/>
  <c r="K44" i="3"/>
  <c r="K45" i="3"/>
  <c r="M45" i="3"/>
  <c r="N45" i="3" s="1"/>
  <c r="K46" i="3"/>
  <c r="M46" i="3"/>
  <c r="N46" i="3" s="1"/>
  <c r="K47" i="3"/>
  <c r="M47" i="3"/>
  <c r="N47" i="3" s="1"/>
  <c r="K48" i="3"/>
  <c r="M48" i="3"/>
  <c r="N48" i="3" s="1"/>
  <c r="K49" i="3"/>
  <c r="M49" i="3"/>
  <c r="N49" i="3" s="1"/>
  <c r="M50" i="3"/>
  <c r="N50" i="3" s="1"/>
  <c r="K50" i="3"/>
  <c r="M51" i="3"/>
  <c r="N51" i="3" s="1"/>
  <c r="K51" i="3"/>
  <c r="M52" i="3"/>
  <c r="N52" i="3" s="1"/>
  <c r="K52" i="3"/>
  <c r="M53" i="3"/>
  <c r="N53" i="3" s="1"/>
  <c r="K53" i="3"/>
  <c r="K54" i="3"/>
  <c r="M54" i="3"/>
  <c r="N54" i="3" s="1"/>
  <c r="K55" i="3"/>
  <c r="M55" i="3"/>
  <c r="N55" i="3" s="1"/>
  <c r="K56" i="3"/>
  <c r="M56" i="3"/>
  <c r="N56" i="3" s="1"/>
  <c r="K57" i="3"/>
  <c r="M57" i="3"/>
  <c r="N57" i="3" s="1"/>
  <c r="K58" i="3"/>
  <c r="M58" i="3"/>
  <c r="N58" i="3" s="1"/>
  <c r="D7" i="1"/>
  <c r="D9" i="1"/>
  <c r="G9" i="1" s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H40" i="1" s="1"/>
  <c r="D41" i="1"/>
  <c r="D50" i="1"/>
  <c r="D51" i="1"/>
  <c r="D52" i="1"/>
  <c r="D53" i="1"/>
  <c r="D54" i="1"/>
  <c r="D55" i="1"/>
  <c r="D56" i="1"/>
  <c r="I56" i="1" s="1"/>
  <c r="J56" i="1" s="1"/>
  <c r="D57" i="1"/>
  <c r="D58" i="1"/>
  <c r="D59" i="1"/>
  <c r="D6" i="1"/>
  <c r="C4" i="4"/>
  <c r="D3" i="4"/>
  <c r="I8" i="1"/>
  <c r="J8" i="1" s="1"/>
  <c r="G8" i="1"/>
  <c r="H8" i="1"/>
  <c r="I9" i="1"/>
  <c r="J9" i="1" s="1"/>
  <c r="H9" i="1"/>
  <c r="I10" i="1"/>
  <c r="J10" i="1" s="1"/>
  <c r="H10" i="1"/>
  <c r="G10" i="1"/>
  <c r="I11" i="1"/>
  <c r="J11" i="1" s="1"/>
  <c r="H11" i="1"/>
  <c r="G11" i="1"/>
  <c r="I13" i="1"/>
  <c r="J13" i="1" s="1"/>
  <c r="G13" i="1"/>
  <c r="H13" i="1"/>
  <c r="H34" i="1"/>
  <c r="I34" i="1"/>
  <c r="J34" i="1" s="1"/>
  <c r="G34" i="1"/>
  <c r="I35" i="1"/>
  <c r="J35" i="1" s="1"/>
  <c r="G35" i="1"/>
  <c r="H35" i="1"/>
  <c r="I36" i="1"/>
  <c r="J36" i="1" s="1"/>
  <c r="G36" i="1"/>
  <c r="H36" i="1"/>
  <c r="I37" i="1"/>
  <c r="J37" i="1" s="1"/>
  <c r="G37" i="1"/>
  <c r="H37" i="1"/>
  <c r="G38" i="1"/>
  <c r="H38" i="1"/>
  <c r="I38" i="1"/>
  <c r="J38" i="1" s="1"/>
  <c r="G39" i="1"/>
  <c r="I39" i="1"/>
  <c r="J39" i="1" s="1"/>
  <c r="H39" i="1"/>
  <c r="G40" i="1"/>
  <c r="I40" i="1"/>
  <c r="J40" i="1" s="1"/>
  <c r="G42" i="1"/>
  <c r="I42" i="1"/>
  <c r="J42" i="1" s="1"/>
  <c r="H42" i="1"/>
  <c r="I43" i="1"/>
  <c r="J43" i="1" s="1"/>
  <c r="H43" i="1"/>
  <c r="G43" i="1"/>
  <c r="G44" i="1"/>
  <c r="H44" i="1"/>
  <c r="I44" i="1"/>
  <c r="J44" i="1" s="1"/>
  <c r="H45" i="1"/>
  <c r="G45" i="1"/>
  <c r="I45" i="1"/>
  <c r="J45" i="1" s="1"/>
  <c r="G46" i="1"/>
  <c r="I46" i="1"/>
  <c r="J46" i="1" s="1"/>
  <c r="H46" i="1"/>
  <c r="G47" i="1"/>
  <c r="I47" i="1"/>
  <c r="J47" i="1" s="1"/>
  <c r="H47" i="1"/>
  <c r="G48" i="1"/>
  <c r="H48" i="1"/>
  <c r="I48" i="1"/>
  <c r="J48" i="1" s="1"/>
  <c r="G49" i="1"/>
  <c r="I49" i="1"/>
  <c r="J49" i="1" s="1"/>
  <c r="H49" i="1"/>
  <c r="G50" i="1"/>
  <c r="I50" i="1"/>
  <c r="J50" i="1" s="1"/>
  <c r="H50" i="1"/>
  <c r="G51" i="1"/>
  <c r="I51" i="1"/>
  <c r="J51" i="1" s="1"/>
  <c r="H51" i="1"/>
  <c r="G52" i="1"/>
  <c r="I52" i="1"/>
  <c r="J52" i="1" s="1"/>
  <c r="H52" i="1"/>
  <c r="H53" i="1"/>
  <c r="I53" i="1"/>
  <c r="J53" i="1" s="1"/>
  <c r="G53" i="1"/>
  <c r="G54" i="1"/>
  <c r="I54" i="1"/>
  <c r="J54" i="1" s="1"/>
  <c r="H54" i="1"/>
  <c r="G55" i="1"/>
  <c r="H55" i="1"/>
  <c r="I55" i="1"/>
  <c r="J55" i="1" s="1"/>
  <c r="G56" i="1"/>
  <c r="H56" i="1"/>
  <c r="G57" i="1"/>
  <c r="H57" i="1"/>
  <c r="I57" i="1"/>
  <c r="J57" i="1" s="1"/>
  <c r="I58" i="1"/>
  <c r="J58" i="1" s="1"/>
  <c r="G58" i="1"/>
  <c r="H58" i="1"/>
  <c r="O5" i="2"/>
  <c r="O3" i="2"/>
  <c r="O4" i="2"/>
  <c r="G59" i="1" l="1"/>
  <c r="I59" i="1"/>
  <c r="J59" i="1" s="1"/>
  <c r="H59" i="1"/>
  <c r="M2" i="1"/>
  <c r="G12" i="1"/>
  <c r="H12" i="1"/>
  <c r="I12" i="1"/>
  <c r="J12" i="1" s="1"/>
  <c r="G6" i="1"/>
  <c r="H6" i="1"/>
  <c r="I6" i="1"/>
  <c r="J6" i="1" s="1"/>
  <c r="G9" i="3"/>
  <c r="H9" i="3" s="1"/>
  <c r="E3" i="4"/>
  <c r="I3" i="4"/>
  <c r="H3" i="4"/>
  <c r="I41" i="1"/>
  <c r="J41" i="1" s="1"/>
  <c r="G41" i="1"/>
  <c r="H41" i="1"/>
  <c r="I7" i="1"/>
  <c r="J7" i="1" s="1"/>
  <c r="H7" i="1"/>
  <c r="G7" i="1"/>
  <c r="H14" i="1"/>
  <c r="I14" i="1"/>
  <c r="J14" i="1" s="1"/>
  <c r="G14" i="1"/>
  <c r="I15" i="1"/>
  <c r="J15" i="1" s="1"/>
  <c r="G15" i="1"/>
  <c r="H15" i="1"/>
  <c r="H16" i="1"/>
  <c r="G16" i="1"/>
  <c r="I16" i="1"/>
  <c r="J16" i="1" s="1"/>
  <c r="I17" i="1"/>
  <c r="J17" i="1" s="1"/>
  <c r="H17" i="1"/>
  <c r="G17" i="1"/>
  <c r="I18" i="1"/>
  <c r="J18" i="1" s="1"/>
  <c r="G18" i="1"/>
  <c r="H18" i="1"/>
  <c r="I19" i="1"/>
  <c r="J19" i="1" s="1"/>
  <c r="G19" i="1"/>
  <c r="H19" i="1"/>
  <c r="G20" i="1"/>
  <c r="H20" i="1"/>
  <c r="I20" i="1"/>
  <c r="J20" i="1" s="1"/>
  <c r="I21" i="1"/>
  <c r="J21" i="1" s="1"/>
  <c r="H21" i="1"/>
  <c r="G21" i="1"/>
  <c r="G22" i="1"/>
  <c r="H22" i="1"/>
  <c r="I22" i="1"/>
  <c r="H23" i="1"/>
  <c r="G23" i="1"/>
  <c r="I23" i="1"/>
  <c r="J23" i="1" s="1"/>
  <c r="G24" i="1"/>
  <c r="I24" i="1"/>
  <c r="J24" i="1" s="1"/>
  <c r="H24" i="1"/>
  <c r="H25" i="1"/>
  <c r="I25" i="1"/>
  <c r="J25" i="1" s="1"/>
  <c r="G25" i="1"/>
  <c r="G26" i="1"/>
  <c r="H26" i="1"/>
  <c r="I26" i="1"/>
  <c r="J26" i="1" s="1"/>
  <c r="H27" i="1"/>
  <c r="I27" i="1"/>
  <c r="J27" i="1" s="1"/>
  <c r="G27" i="1"/>
  <c r="I28" i="1"/>
  <c r="J28" i="1" s="1"/>
  <c r="G28" i="1"/>
  <c r="H28" i="1"/>
  <c r="G29" i="1"/>
  <c r="H29" i="1"/>
  <c r="I29" i="1"/>
  <c r="J29" i="1" s="1"/>
  <c r="I30" i="1"/>
  <c r="J30" i="1" s="1"/>
  <c r="H30" i="1"/>
  <c r="G30" i="1"/>
  <c r="G31" i="1"/>
  <c r="I31" i="1"/>
  <c r="J31" i="1" s="1"/>
  <c r="H31" i="1"/>
  <c r="G32" i="1"/>
  <c r="H32" i="1"/>
  <c r="I32" i="1"/>
  <c r="J32" i="1" s="1"/>
  <c r="G33" i="1"/>
  <c r="I33" i="1"/>
  <c r="J33" i="1" s="1"/>
  <c r="H33" i="1"/>
  <c r="D4" i="4"/>
  <c r="C5" i="4"/>
  <c r="C56" i="2"/>
  <c r="C59" i="2"/>
  <c r="C57" i="2"/>
  <c r="C54" i="2"/>
  <c r="C52" i="2"/>
  <c r="C51" i="2"/>
  <c r="C49" i="2"/>
  <c r="C47" i="2"/>
  <c r="C45" i="2"/>
  <c r="C43" i="2"/>
  <c r="C41" i="2"/>
  <c r="C39" i="2"/>
  <c r="C36" i="2"/>
  <c r="C34" i="2"/>
  <c r="C32" i="2"/>
  <c r="C31" i="2"/>
  <c r="C29" i="2"/>
  <c r="C27" i="2"/>
  <c r="C26" i="2"/>
  <c r="C24" i="2"/>
  <c r="C22" i="2"/>
  <c r="C21" i="2"/>
  <c r="C19" i="2"/>
  <c r="C18" i="2"/>
  <c r="C16" i="2"/>
  <c r="C15" i="2"/>
  <c r="C14" i="2"/>
  <c r="C13" i="2"/>
  <c r="C12" i="2"/>
  <c r="C11" i="2"/>
  <c r="C10" i="2"/>
  <c r="C9" i="2"/>
  <c r="C8" i="2"/>
  <c r="C7" i="2"/>
  <c r="C6" i="2"/>
  <c r="C58" i="2"/>
  <c r="C55" i="2"/>
  <c r="C53" i="2"/>
  <c r="C50" i="2"/>
  <c r="C48" i="2"/>
  <c r="C46" i="2"/>
  <c r="C44" i="2"/>
  <c r="C42" i="2"/>
  <c r="C40" i="2"/>
  <c r="C38" i="2"/>
  <c r="C37" i="2"/>
  <c r="C35" i="2"/>
  <c r="C33" i="2"/>
  <c r="C30" i="2"/>
  <c r="C28" i="2"/>
  <c r="C25" i="2"/>
  <c r="C23" i="2"/>
  <c r="C20" i="2"/>
  <c r="C17" i="2"/>
  <c r="E23" i="1" l="1"/>
  <c r="F23" i="1" s="1"/>
  <c r="E27" i="1"/>
  <c r="F27" i="1" s="1"/>
  <c r="E44" i="1"/>
  <c r="F44" i="1" s="1"/>
  <c r="E46" i="1"/>
  <c r="F46" i="1" s="1"/>
  <c r="E49" i="1"/>
  <c r="F49" i="1" s="1"/>
  <c r="E42" i="1"/>
  <c r="F42" i="1" s="1"/>
  <c r="E45" i="1"/>
  <c r="F45" i="1" s="1"/>
  <c r="E47" i="1"/>
  <c r="F47" i="1" s="1"/>
  <c r="E21" i="1"/>
  <c r="F21" i="1" s="1"/>
  <c r="E48" i="1"/>
  <c r="F48" i="1" s="1"/>
  <c r="E17" i="1"/>
  <c r="F17" i="1" s="1"/>
  <c r="E59" i="1"/>
  <c r="F59" i="1" s="1"/>
  <c r="E58" i="1"/>
  <c r="F58" i="1" s="1"/>
  <c r="E53" i="1"/>
  <c r="F53" i="1" s="1"/>
  <c r="E41" i="1"/>
  <c r="F41" i="1" s="1"/>
  <c r="E30" i="1"/>
  <c r="F30" i="1" s="1"/>
  <c r="E22" i="1"/>
  <c r="F22" i="1" s="1"/>
  <c r="E7" i="1"/>
  <c r="F7" i="1" s="1"/>
  <c r="E6" i="1"/>
  <c r="F6" i="1" s="1"/>
  <c r="E57" i="1"/>
  <c r="F57" i="1" s="1"/>
  <c r="E55" i="1"/>
  <c r="F55" i="1" s="1"/>
  <c r="E52" i="1"/>
  <c r="F52" i="1" s="1"/>
  <c r="E35" i="1"/>
  <c r="F35" i="1" s="1"/>
  <c r="E31" i="1"/>
  <c r="F31" i="1" s="1"/>
  <c r="E26" i="1"/>
  <c r="F26" i="1" s="1"/>
  <c r="E18" i="1"/>
  <c r="F18" i="1" s="1"/>
  <c r="E54" i="1"/>
  <c r="F54" i="1" s="1"/>
  <c r="E50" i="1"/>
  <c r="F50" i="1" s="1"/>
  <c r="E32" i="1"/>
  <c r="F32" i="1" s="1"/>
  <c r="E28" i="1"/>
  <c r="F28" i="1" s="1"/>
  <c r="E24" i="1"/>
  <c r="F24" i="1" s="1"/>
  <c r="E40" i="1"/>
  <c r="F40" i="1" s="1"/>
  <c r="E39" i="1"/>
  <c r="F39" i="1" s="1"/>
  <c r="E38" i="1"/>
  <c r="F38" i="1" s="1"/>
  <c r="E37" i="1"/>
  <c r="F37" i="1" s="1"/>
  <c r="E36" i="1"/>
  <c r="F36" i="1" s="1"/>
  <c r="E34" i="1"/>
  <c r="F34" i="1" s="1"/>
  <c r="E9" i="1"/>
  <c r="F9" i="1" s="1"/>
  <c r="E19" i="1"/>
  <c r="F19" i="1" s="1"/>
  <c r="E11" i="1"/>
  <c r="F11" i="1" s="1"/>
  <c r="E12" i="1"/>
  <c r="F12" i="1" s="1"/>
  <c r="E13" i="1"/>
  <c r="F13" i="1" s="1"/>
  <c r="E14" i="1"/>
  <c r="F14" i="1" s="1"/>
  <c r="E15" i="1"/>
  <c r="F15" i="1" s="1"/>
  <c r="E20" i="1"/>
  <c r="F20" i="1" s="1"/>
  <c r="E8" i="1"/>
  <c r="F8" i="1" s="1"/>
  <c r="E10" i="1"/>
  <c r="F10" i="1" s="1"/>
  <c r="E43" i="1"/>
  <c r="F43" i="1" s="1"/>
  <c r="E16" i="1"/>
  <c r="F16" i="1" s="1"/>
  <c r="E56" i="1"/>
  <c r="F56" i="1" s="1"/>
  <c r="E51" i="1"/>
  <c r="F51" i="1" s="1"/>
  <c r="E33" i="1"/>
  <c r="F33" i="1" s="1"/>
  <c r="E29" i="1"/>
  <c r="F29" i="1" s="1"/>
  <c r="E25" i="1"/>
  <c r="F25" i="1" s="1"/>
  <c r="R2" i="3"/>
  <c r="M9" i="3"/>
  <c r="K9" i="3"/>
  <c r="R4" i="3" s="1"/>
  <c r="R5" i="3" s="1"/>
  <c r="L9" i="3" a="1"/>
  <c r="R6" i="3" s="1"/>
  <c r="J3" i="4"/>
  <c r="E4" i="4"/>
  <c r="I4" i="4"/>
  <c r="H4" i="4"/>
  <c r="M4" i="1"/>
  <c r="M5" i="1" s="1"/>
  <c r="M6" i="1"/>
  <c r="M7" i="1"/>
  <c r="D56" i="2"/>
  <c r="D59" i="2"/>
  <c r="D57" i="2"/>
  <c r="D54" i="2"/>
  <c r="D52" i="2"/>
  <c r="D51" i="2"/>
  <c r="D49" i="2"/>
  <c r="D47" i="2"/>
  <c r="D45" i="2"/>
  <c r="D43" i="2"/>
  <c r="D41" i="2"/>
  <c r="D39" i="2"/>
  <c r="D36" i="2"/>
  <c r="D34" i="2"/>
  <c r="D32" i="2"/>
  <c r="D31" i="2"/>
  <c r="D29" i="2"/>
  <c r="D27" i="2"/>
  <c r="D26" i="2"/>
  <c r="D24" i="2"/>
  <c r="D22" i="2"/>
  <c r="D21" i="2"/>
  <c r="D19" i="2"/>
  <c r="D18" i="2"/>
  <c r="D16" i="2"/>
  <c r="D15" i="2"/>
  <c r="D14" i="2"/>
  <c r="D13" i="2"/>
  <c r="D12" i="2"/>
  <c r="D11" i="2"/>
  <c r="D10" i="2"/>
  <c r="D9" i="2"/>
  <c r="D8" i="2"/>
  <c r="D7" i="2"/>
  <c r="D6" i="2"/>
  <c r="D58" i="2"/>
  <c r="D55" i="2"/>
  <c r="D53" i="2"/>
  <c r="D50" i="2"/>
  <c r="D48" i="2"/>
  <c r="D46" i="2"/>
  <c r="D44" i="2"/>
  <c r="D42" i="2"/>
  <c r="D40" i="2"/>
  <c r="D38" i="2"/>
  <c r="D37" i="2"/>
  <c r="D35" i="2"/>
  <c r="D33" i="2"/>
  <c r="D30" i="2"/>
  <c r="D28" i="2"/>
  <c r="D25" i="2"/>
  <c r="D23" i="2"/>
  <c r="D20" i="2"/>
  <c r="D17" i="2"/>
  <c r="J22" i="1"/>
  <c r="M8" i="1"/>
  <c r="D5" i="4"/>
  <c r="C6" i="4"/>
  <c r="M3" i="1" l="1"/>
  <c r="I33" i="3"/>
  <c r="J33" i="3" s="1"/>
  <c r="I45" i="3"/>
  <c r="J45" i="3" s="1"/>
  <c r="I19" i="3"/>
  <c r="J19" i="3" s="1"/>
  <c r="I22" i="3"/>
  <c r="J22" i="3" s="1"/>
  <c r="I58" i="3"/>
  <c r="J58" i="3" s="1"/>
  <c r="I55" i="3"/>
  <c r="J55" i="3" s="1"/>
  <c r="I53" i="3"/>
  <c r="J53" i="3" s="1"/>
  <c r="I24" i="3"/>
  <c r="J24" i="3" s="1"/>
  <c r="I50" i="3"/>
  <c r="J50" i="3" s="1"/>
  <c r="I46" i="3"/>
  <c r="J46" i="3" s="1"/>
  <c r="I36" i="3"/>
  <c r="J36" i="3" s="1"/>
  <c r="I21" i="3"/>
  <c r="J21" i="3" s="1"/>
  <c r="I23" i="3"/>
  <c r="J23" i="3" s="1"/>
  <c r="I39" i="3"/>
  <c r="J39" i="3" s="1"/>
  <c r="I57" i="3"/>
  <c r="J57" i="3" s="1"/>
  <c r="I11" i="3"/>
  <c r="J11" i="3" s="1"/>
  <c r="I32" i="3"/>
  <c r="J32" i="3" s="1"/>
  <c r="I30" i="3"/>
  <c r="J30" i="3" s="1"/>
  <c r="I18" i="3"/>
  <c r="J18" i="3" s="1"/>
  <c r="I56" i="3"/>
  <c r="J56" i="3" s="1"/>
  <c r="I54" i="3"/>
  <c r="J54" i="3" s="1"/>
  <c r="I52" i="3"/>
  <c r="J52" i="3" s="1"/>
  <c r="I37" i="3"/>
  <c r="J37" i="3" s="1"/>
  <c r="I9" i="3"/>
  <c r="J9" i="3" s="1"/>
  <c r="I48" i="3"/>
  <c r="J48" i="3" s="1"/>
  <c r="I40" i="3"/>
  <c r="J40" i="3" s="1"/>
  <c r="I28" i="3"/>
  <c r="J28" i="3" s="1"/>
  <c r="I17" i="3"/>
  <c r="J17" i="3" s="1"/>
  <c r="I14" i="3"/>
  <c r="J14" i="3" s="1"/>
  <c r="I43" i="3"/>
  <c r="J43" i="3" s="1"/>
  <c r="I38" i="3"/>
  <c r="J38" i="3" s="1"/>
  <c r="I34" i="3"/>
  <c r="J34" i="3" s="1"/>
  <c r="I31" i="3"/>
  <c r="J31" i="3" s="1"/>
  <c r="I27" i="3"/>
  <c r="J27" i="3" s="1"/>
  <c r="I20" i="3"/>
  <c r="J20" i="3" s="1"/>
  <c r="I15" i="3"/>
  <c r="J15" i="3" s="1"/>
  <c r="I13" i="3"/>
  <c r="J13" i="3" s="1"/>
  <c r="I10" i="3"/>
  <c r="J10" i="3" s="1"/>
  <c r="I41" i="3"/>
  <c r="J41" i="3" s="1"/>
  <c r="I29" i="3"/>
  <c r="J29" i="3" s="1"/>
  <c r="I16" i="3"/>
  <c r="J16" i="3" s="1"/>
  <c r="I42" i="3"/>
  <c r="J42" i="3" s="1"/>
  <c r="I35" i="3"/>
  <c r="J35" i="3" s="1"/>
  <c r="I26" i="3"/>
  <c r="J26" i="3" s="1"/>
  <c r="I12" i="3"/>
  <c r="J12" i="3" s="1"/>
  <c r="I51" i="3"/>
  <c r="J51" i="3" s="1"/>
  <c r="I49" i="3"/>
  <c r="J49" i="3" s="1"/>
  <c r="I47" i="3"/>
  <c r="J47" i="3" s="1"/>
  <c r="I44" i="3"/>
  <c r="J44" i="3" s="1"/>
  <c r="I25" i="3"/>
  <c r="J25" i="3" s="1"/>
  <c r="N9" i="3"/>
  <c r="R7" i="3" s="1"/>
  <c r="R8" i="3"/>
  <c r="J4" i="4"/>
  <c r="E5" i="4"/>
  <c r="H5" i="4"/>
  <c r="I5" i="4"/>
  <c r="H56" i="2"/>
  <c r="G56" i="2"/>
  <c r="I56" i="2"/>
  <c r="J56" i="2" s="1"/>
  <c r="G59" i="2"/>
  <c r="I59" i="2"/>
  <c r="J59" i="2" s="1"/>
  <c r="H59" i="2"/>
  <c r="H57" i="2"/>
  <c r="G57" i="2"/>
  <c r="I57" i="2"/>
  <c r="J57" i="2" s="1"/>
  <c r="H54" i="2"/>
  <c r="I54" i="2"/>
  <c r="J54" i="2" s="1"/>
  <c r="G54" i="2"/>
  <c r="I52" i="2"/>
  <c r="J52" i="2" s="1"/>
  <c r="G52" i="2"/>
  <c r="H52" i="2"/>
  <c r="H51" i="2"/>
  <c r="G51" i="2"/>
  <c r="I51" i="2"/>
  <c r="J51" i="2" s="1"/>
  <c r="G49" i="2"/>
  <c r="I49" i="2"/>
  <c r="J49" i="2" s="1"/>
  <c r="H49" i="2"/>
  <c r="I47" i="2"/>
  <c r="J47" i="2" s="1"/>
  <c r="H47" i="2"/>
  <c r="G47" i="2"/>
  <c r="G45" i="2"/>
  <c r="H45" i="2"/>
  <c r="I45" i="2"/>
  <c r="J45" i="2" s="1"/>
  <c r="H43" i="2"/>
  <c r="G43" i="2"/>
  <c r="I43" i="2"/>
  <c r="J43" i="2" s="1"/>
  <c r="H41" i="2"/>
  <c r="G41" i="2"/>
  <c r="I41" i="2"/>
  <c r="J41" i="2" s="1"/>
  <c r="G39" i="2"/>
  <c r="H39" i="2"/>
  <c r="I39" i="2"/>
  <c r="J39" i="2" s="1"/>
  <c r="G36" i="2"/>
  <c r="I36" i="2"/>
  <c r="J36" i="2" s="1"/>
  <c r="H36" i="2"/>
  <c r="G34" i="2"/>
  <c r="H34" i="2"/>
  <c r="I34" i="2"/>
  <c r="J34" i="2" s="1"/>
  <c r="G32" i="2"/>
  <c r="I32" i="2"/>
  <c r="J32" i="2" s="1"/>
  <c r="H32" i="2"/>
  <c r="G31" i="2"/>
  <c r="I31" i="2"/>
  <c r="J31" i="2" s="1"/>
  <c r="H31" i="2"/>
  <c r="G29" i="2"/>
  <c r="H29" i="2"/>
  <c r="I29" i="2"/>
  <c r="J29" i="2" s="1"/>
  <c r="H27" i="2"/>
  <c r="I27" i="2"/>
  <c r="J27" i="2" s="1"/>
  <c r="G27" i="2"/>
  <c r="G26" i="2"/>
  <c r="I26" i="2"/>
  <c r="J26" i="2" s="1"/>
  <c r="H26" i="2"/>
  <c r="I24" i="2"/>
  <c r="J24" i="2" s="1"/>
  <c r="G24" i="2"/>
  <c r="H24" i="2"/>
  <c r="G22" i="2"/>
  <c r="I22" i="2"/>
  <c r="J22" i="2" s="1"/>
  <c r="H22" i="2"/>
  <c r="H21" i="2"/>
  <c r="I21" i="2"/>
  <c r="J21" i="2" s="1"/>
  <c r="G21" i="2"/>
  <c r="I19" i="2"/>
  <c r="J19" i="2" s="1"/>
  <c r="H19" i="2"/>
  <c r="G19" i="2"/>
  <c r="H18" i="2"/>
  <c r="I18" i="2"/>
  <c r="J18" i="2" s="1"/>
  <c r="G18" i="2"/>
  <c r="G16" i="2"/>
  <c r="H16" i="2"/>
  <c r="I16" i="2"/>
  <c r="J16" i="2" s="1"/>
  <c r="I15" i="2"/>
  <c r="J15" i="2" s="1"/>
  <c r="G15" i="2"/>
  <c r="H15" i="2"/>
  <c r="G14" i="2"/>
  <c r="I14" i="2"/>
  <c r="J14" i="2" s="1"/>
  <c r="H14" i="2"/>
  <c r="G13" i="2"/>
  <c r="I13" i="2"/>
  <c r="J13" i="2" s="1"/>
  <c r="H13" i="2"/>
  <c r="H12" i="2"/>
  <c r="G12" i="2"/>
  <c r="I12" i="2"/>
  <c r="J12" i="2" s="1"/>
  <c r="H11" i="2"/>
  <c r="G11" i="2"/>
  <c r="I11" i="2"/>
  <c r="J11" i="2" s="1"/>
  <c r="G10" i="2"/>
  <c r="I10" i="2"/>
  <c r="J10" i="2" s="1"/>
  <c r="H10" i="2"/>
  <c r="I9" i="2"/>
  <c r="J9" i="2" s="1"/>
  <c r="G9" i="2"/>
  <c r="H9" i="2"/>
  <c r="I8" i="2"/>
  <c r="J8" i="2" s="1"/>
  <c r="G8" i="2"/>
  <c r="H8" i="2"/>
  <c r="I7" i="2"/>
  <c r="J7" i="2" s="1"/>
  <c r="G7" i="2"/>
  <c r="H7" i="2"/>
  <c r="I6" i="2"/>
  <c r="H6" i="2"/>
  <c r="O8" i="2"/>
  <c r="G6" i="2"/>
  <c r="I58" i="2"/>
  <c r="J58" i="2" s="1"/>
  <c r="G58" i="2"/>
  <c r="H58" i="2"/>
  <c r="I55" i="2"/>
  <c r="J55" i="2" s="1"/>
  <c r="G55" i="2"/>
  <c r="H55" i="2"/>
  <c r="I53" i="2"/>
  <c r="J53" i="2" s="1"/>
  <c r="H53" i="2"/>
  <c r="G53" i="2"/>
  <c r="G50" i="2"/>
  <c r="I50" i="2"/>
  <c r="J50" i="2" s="1"/>
  <c r="H50" i="2"/>
  <c r="I48" i="2"/>
  <c r="J48" i="2" s="1"/>
  <c r="G48" i="2"/>
  <c r="H48" i="2"/>
  <c r="H46" i="2"/>
  <c r="I46" i="2"/>
  <c r="J46" i="2" s="1"/>
  <c r="G46" i="2"/>
  <c r="H44" i="2"/>
  <c r="I44" i="2"/>
  <c r="J44" i="2" s="1"/>
  <c r="G44" i="2"/>
  <c r="H42" i="2"/>
  <c r="I42" i="2"/>
  <c r="J42" i="2" s="1"/>
  <c r="G42" i="2"/>
  <c r="G40" i="2"/>
  <c r="H40" i="2"/>
  <c r="I40" i="2"/>
  <c r="J40" i="2" s="1"/>
  <c r="I38" i="2"/>
  <c r="J38" i="2" s="1"/>
  <c r="H38" i="2"/>
  <c r="G38" i="2"/>
  <c r="G37" i="2"/>
  <c r="I37" i="2"/>
  <c r="J37" i="2" s="1"/>
  <c r="H37" i="2"/>
  <c r="G35" i="2"/>
  <c r="H35" i="2"/>
  <c r="I35" i="2"/>
  <c r="J35" i="2" s="1"/>
  <c r="G33" i="2"/>
  <c r="H33" i="2"/>
  <c r="I33" i="2"/>
  <c r="J33" i="2" s="1"/>
  <c r="I30" i="2"/>
  <c r="J30" i="2" s="1"/>
  <c r="H30" i="2"/>
  <c r="G30" i="2"/>
  <c r="I28" i="2"/>
  <c r="J28" i="2" s="1"/>
  <c r="H28" i="2"/>
  <c r="G28" i="2"/>
  <c r="I25" i="2"/>
  <c r="J25" i="2" s="1"/>
  <c r="G25" i="2"/>
  <c r="H25" i="2"/>
  <c r="I23" i="2"/>
  <c r="J23" i="2" s="1"/>
  <c r="H23" i="2"/>
  <c r="G23" i="2"/>
  <c r="H20" i="2"/>
  <c r="I20" i="2"/>
  <c r="J20" i="2" s="1"/>
  <c r="G20" i="2"/>
  <c r="G17" i="2"/>
  <c r="I17" i="2"/>
  <c r="J17" i="2" s="1"/>
  <c r="H17" i="2"/>
  <c r="D6" i="4"/>
  <c r="C7" i="4"/>
  <c r="R3" i="3" l="1"/>
  <c r="J5" i="4"/>
  <c r="E6" i="4"/>
  <c r="I6" i="4"/>
  <c r="H6" i="4"/>
  <c r="J6" i="2"/>
  <c r="O14" i="2"/>
  <c r="E51" i="2"/>
  <c r="F51" i="2" s="1"/>
  <c r="E54" i="2"/>
  <c r="F54" i="2" s="1"/>
  <c r="E30" i="2"/>
  <c r="F30" i="2" s="1"/>
  <c r="E49" i="2"/>
  <c r="F49" i="2" s="1"/>
  <c r="E52" i="2"/>
  <c r="F52" i="2" s="1"/>
  <c r="E57" i="2"/>
  <c r="F57" i="2" s="1"/>
  <c r="E59" i="2"/>
  <c r="F59" i="2" s="1"/>
  <c r="E56" i="2"/>
  <c r="F56" i="2" s="1"/>
  <c r="E17" i="2"/>
  <c r="F17" i="2" s="1"/>
  <c r="E20" i="2"/>
  <c r="F20" i="2" s="1"/>
  <c r="E23" i="2"/>
  <c r="F23" i="2" s="1"/>
  <c r="E25" i="2"/>
  <c r="F25" i="2" s="1"/>
  <c r="E28" i="2"/>
  <c r="F28" i="2" s="1"/>
  <c r="E33" i="2"/>
  <c r="F33" i="2" s="1"/>
  <c r="E35" i="2"/>
  <c r="F35" i="2" s="1"/>
  <c r="E37" i="2"/>
  <c r="F37" i="2" s="1"/>
  <c r="E38" i="2"/>
  <c r="F38" i="2" s="1"/>
  <c r="E40" i="2"/>
  <c r="F40" i="2" s="1"/>
  <c r="E42" i="2"/>
  <c r="F42" i="2" s="1"/>
  <c r="E44" i="2"/>
  <c r="F44" i="2" s="1"/>
  <c r="E46" i="2"/>
  <c r="F46" i="2" s="1"/>
  <c r="E48" i="2"/>
  <c r="F48" i="2" s="1"/>
  <c r="E50" i="2"/>
  <c r="F50" i="2" s="1"/>
  <c r="E53" i="2"/>
  <c r="F53" i="2" s="1"/>
  <c r="E55" i="2"/>
  <c r="F55" i="2" s="1"/>
  <c r="E58" i="2"/>
  <c r="F58" i="2" s="1"/>
  <c r="E6" i="2"/>
  <c r="F6" i="2" s="1"/>
  <c r="O9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8" i="2"/>
  <c r="F18" i="2" s="1"/>
  <c r="E19" i="2"/>
  <c r="F19" i="2" s="1"/>
  <c r="E21" i="2"/>
  <c r="F21" i="2" s="1"/>
  <c r="E22" i="2"/>
  <c r="F22" i="2" s="1"/>
  <c r="E24" i="2"/>
  <c r="F24" i="2" s="1"/>
  <c r="E26" i="2"/>
  <c r="F26" i="2" s="1"/>
  <c r="E27" i="2"/>
  <c r="F27" i="2" s="1"/>
  <c r="E29" i="2"/>
  <c r="F29" i="2" s="1"/>
  <c r="E31" i="2"/>
  <c r="F31" i="2" s="1"/>
  <c r="E32" i="2"/>
  <c r="F32" i="2" s="1"/>
  <c r="E34" i="2"/>
  <c r="F34" i="2" s="1"/>
  <c r="E36" i="2"/>
  <c r="F36" i="2" s="1"/>
  <c r="E39" i="2"/>
  <c r="F39" i="2" s="1"/>
  <c r="E41" i="2"/>
  <c r="F41" i="2" s="1"/>
  <c r="E43" i="2"/>
  <c r="F43" i="2" s="1"/>
  <c r="E45" i="2"/>
  <c r="F45" i="2" s="1"/>
  <c r="E47" i="2"/>
  <c r="F47" i="2" s="1"/>
  <c r="O12" i="2"/>
  <c r="O10" i="2"/>
  <c r="O11" i="2" s="1"/>
  <c r="D7" i="4"/>
  <c r="C8" i="4"/>
  <c r="J6" i="4" l="1"/>
  <c r="E7" i="4"/>
  <c r="I7" i="4"/>
  <c r="J7" i="4" s="1"/>
  <c r="H7" i="4"/>
  <c r="D8" i="4"/>
  <c r="C9" i="4"/>
  <c r="E8" i="4" l="1"/>
  <c r="I8" i="4"/>
  <c r="J8" i="4" s="1"/>
  <c r="H8" i="4"/>
  <c r="D9" i="4"/>
  <c r="C10" i="4"/>
  <c r="E9" i="4" l="1"/>
  <c r="H9" i="4"/>
  <c r="I9" i="4"/>
  <c r="J9" i="4" s="1"/>
  <c r="D10" i="4"/>
  <c r="C11" i="4"/>
  <c r="E10" i="4" l="1"/>
  <c r="I10" i="4"/>
  <c r="J10" i="4" s="1"/>
  <c r="H10" i="4"/>
  <c r="D11" i="4"/>
  <c r="C12" i="4"/>
  <c r="E11" i="4" l="1"/>
  <c r="I11" i="4"/>
  <c r="J11" i="4" s="1"/>
  <c r="H11" i="4"/>
  <c r="D12" i="4"/>
  <c r="C13" i="4"/>
  <c r="E12" i="4" l="1"/>
  <c r="H12" i="4"/>
  <c r="I12" i="4"/>
  <c r="J12" i="4" s="1"/>
  <c r="D13" i="4"/>
  <c r="C14" i="4"/>
  <c r="E13" i="4" l="1"/>
  <c r="I13" i="4"/>
  <c r="J13" i="4" s="1"/>
  <c r="H13" i="4"/>
  <c r="D14" i="4"/>
  <c r="C15" i="4"/>
  <c r="E14" i="4" l="1"/>
  <c r="I14" i="4"/>
  <c r="J14" i="4" s="1"/>
  <c r="H14" i="4"/>
  <c r="D15" i="4"/>
  <c r="C16" i="4"/>
  <c r="E15" i="4" l="1"/>
  <c r="H15" i="4"/>
  <c r="I15" i="4"/>
  <c r="J15" i="4" s="1"/>
  <c r="D16" i="4"/>
  <c r="C17" i="4"/>
  <c r="E16" i="4" l="1"/>
  <c r="I16" i="4"/>
  <c r="J16" i="4" s="1"/>
  <c r="H16" i="4"/>
  <c r="D17" i="4"/>
  <c r="C18" i="4"/>
  <c r="E17" i="4" l="1"/>
  <c r="I17" i="4"/>
  <c r="J17" i="4" s="1"/>
  <c r="H17" i="4"/>
  <c r="D18" i="4"/>
  <c r="C19" i="4"/>
  <c r="E18" i="4" l="1"/>
  <c r="H18" i="4"/>
  <c r="I18" i="4"/>
  <c r="J18" i="4" s="1"/>
  <c r="D19" i="4"/>
  <c r="C20" i="4"/>
  <c r="E19" i="4" l="1"/>
  <c r="I19" i="4"/>
  <c r="J19" i="4" s="1"/>
  <c r="H19" i="4"/>
  <c r="D20" i="4"/>
  <c r="C21" i="4"/>
  <c r="E20" i="4" l="1"/>
  <c r="H20" i="4"/>
  <c r="I20" i="4"/>
  <c r="J20" i="4" s="1"/>
  <c r="D21" i="4"/>
  <c r="C22" i="4"/>
  <c r="E21" i="4" l="1"/>
  <c r="I21" i="4"/>
  <c r="J21" i="4" s="1"/>
  <c r="H21" i="4"/>
  <c r="D22" i="4"/>
  <c r="C23" i="4"/>
  <c r="E22" i="4" l="1"/>
  <c r="I22" i="4"/>
  <c r="J22" i="4" s="1"/>
  <c r="H22" i="4"/>
  <c r="D23" i="4"/>
  <c r="C24" i="4"/>
  <c r="E23" i="4" l="1"/>
  <c r="H23" i="4"/>
  <c r="I23" i="4"/>
  <c r="J23" i="4" s="1"/>
  <c r="D24" i="4"/>
  <c r="C25" i="4"/>
  <c r="E24" i="4" l="1"/>
  <c r="I24" i="4"/>
  <c r="J24" i="4" s="1"/>
  <c r="H24" i="4"/>
  <c r="D25" i="4"/>
  <c r="C26" i="4"/>
  <c r="E25" i="4" l="1"/>
  <c r="I25" i="4"/>
  <c r="J25" i="4" s="1"/>
  <c r="H25" i="4"/>
  <c r="D26" i="4"/>
  <c r="C27" i="4"/>
  <c r="E26" i="4" l="1"/>
  <c r="H26" i="4"/>
  <c r="I26" i="4"/>
  <c r="J26" i="4" s="1"/>
  <c r="D27" i="4"/>
  <c r="C28" i="4"/>
  <c r="E27" i="4" l="1"/>
  <c r="I27" i="4"/>
  <c r="J27" i="4" s="1"/>
  <c r="H27" i="4"/>
  <c r="D28" i="4"/>
  <c r="C29" i="4"/>
  <c r="E28" i="4" l="1"/>
  <c r="I28" i="4"/>
  <c r="J28" i="4" s="1"/>
  <c r="H28" i="4"/>
  <c r="D29" i="4"/>
  <c r="C30" i="4"/>
  <c r="E29" i="4" l="1"/>
  <c r="H29" i="4"/>
  <c r="I29" i="4"/>
  <c r="J29" i="4" s="1"/>
  <c r="D30" i="4"/>
  <c r="C31" i="4"/>
  <c r="E30" i="4" l="1"/>
  <c r="I30" i="4"/>
  <c r="J30" i="4" s="1"/>
  <c r="H30" i="4"/>
  <c r="D31" i="4"/>
  <c r="C32" i="4"/>
  <c r="E31" i="4" l="1"/>
  <c r="I31" i="4"/>
  <c r="J31" i="4" s="1"/>
  <c r="H31" i="4"/>
  <c r="D32" i="4"/>
  <c r="C33" i="4"/>
  <c r="E32" i="4" l="1"/>
  <c r="H32" i="4"/>
  <c r="I32" i="4"/>
  <c r="J32" i="4" s="1"/>
  <c r="D33" i="4"/>
  <c r="C34" i="4"/>
  <c r="E33" i="4" l="1"/>
  <c r="I33" i="4"/>
  <c r="J33" i="4" s="1"/>
  <c r="H33" i="4"/>
  <c r="D34" i="4"/>
  <c r="C35" i="4"/>
  <c r="E34" i="4" l="1"/>
  <c r="I34" i="4"/>
  <c r="J34" i="4" s="1"/>
  <c r="H34" i="4"/>
  <c r="D35" i="4"/>
  <c r="C36" i="4"/>
  <c r="E35" i="4" l="1"/>
  <c r="I35" i="4"/>
  <c r="J35" i="4" s="1"/>
  <c r="H35" i="4"/>
  <c r="D36" i="4"/>
  <c r="C37" i="4"/>
  <c r="E36" i="4" l="1"/>
  <c r="I36" i="4"/>
  <c r="J36" i="4" s="1"/>
  <c r="H36" i="4"/>
  <c r="D37" i="4"/>
  <c r="C38" i="4"/>
  <c r="E37" i="4" l="1"/>
  <c r="H37" i="4"/>
  <c r="I37" i="4"/>
  <c r="J37" i="4" s="1"/>
  <c r="D38" i="4"/>
  <c r="C39" i="4"/>
  <c r="E38" i="4" l="1"/>
  <c r="I38" i="4"/>
  <c r="J38" i="4" s="1"/>
  <c r="H38" i="4"/>
  <c r="D39" i="4"/>
  <c r="C40" i="4"/>
  <c r="E39" i="4" l="1"/>
  <c r="I39" i="4"/>
  <c r="J39" i="4" s="1"/>
  <c r="H39" i="4"/>
  <c r="D40" i="4"/>
  <c r="C41" i="4"/>
  <c r="E40" i="4" l="1"/>
  <c r="I40" i="4"/>
  <c r="J40" i="4" s="1"/>
  <c r="H40" i="4"/>
  <c r="D41" i="4"/>
  <c r="C42" i="4"/>
  <c r="E41" i="4" l="1"/>
  <c r="H41" i="4"/>
  <c r="I41" i="4"/>
  <c r="J41" i="4" s="1"/>
  <c r="D42" i="4"/>
  <c r="C43" i="4"/>
  <c r="E42" i="4" l="1"/>
  <c r="I42" i="4"/>
  <c r="J42" i="4" s="1"/>
  <c r="H42" i="4"/>
  <c r="D43" i="4"/>
  <c r="C44" i="4"/>
  <c r="E43" i="4" l="1"/>
  <c r="H43" i="4"/>
  <c r="I43" i="4"/>
  <c r="J43" i="4" s="1"/>
  <c r="D44" i="4"/>
  <c r="C45" i="4"/>
  <c r="E44" i="4" l="1"/>
  <c r="I44" i="4"/>
  <c r="J44" i="4" s="1"/>
  <c r="H44" i="4"/>
  <c r="D45" i="4"/>
  <c r="C46" i="4"/>
  <c r="E45" i="4" l="1"/>
  <c r="I45" i="4"/>
  <c r="J45" i="4" s="1"/>
  <c r="H45" i="4"/>
  <c r="D46" i="4"/>
  <c r="C47" i="4"/>
  <c r="E46" i="4" l="1"/>
  <c r="I46" i="4"/>
  <c r="J46" i="4" s="1"/>
  <c r="H46" i="4"/>
  <c r="D47" i="4"/>
  <c r="C48" i="4"/>
  <c r="E47" i="4" l="1"/>
  <c r="I47" i="4"/>
  <c r="J47" i="4" s="1"/>
  <c r="H47" i="4"/>
  <c r="D48" i="4"/>
  <c r="C49" i="4"/>
  <c r="E48" i="4" l="1"/>
  <c r="I48" i="4"/>
  <c r="J48" i="4" s="1"/>
  <c r="H48" i="4"/>
  <c r="D49" i="4"/>
  <c r="C50" i="4"/>
  <c r="E49" i="4" l="1"/>
  <c r="H49" i="4"/>
  <c r="I49" i="4"/>
  <c r="J49" i="4" s="1"/>
  <c r="D50" i="4"/>
  <c r="C51" i="4"/>
  <c r="E50" i="4" l="1"/>
  <c r="I50" i="4"/>
  <c r="J50" i="4" s="1"/>
  <c r="H50" i="4"/>
  <c r="D51" i="4"/>
  <c r="C52" i="4"/>
  <c r="E51" i="4" l="1"/>
  <c r="I51" i="4"/>
  <c r="J51" i="4" s="1"/>
  <c r="H51" i="4"/>
  <c r="D52" i="4"/>
  <c r="C53" i="4"/>
  <c r="E52" i="4" l="1"/>
  <c r="I52" i="4"/>
  <c r="J52" i="4" s="1"/>
  <c r="H52" i="4"/>
  <c r="D53" i="4"/>
  <c r="C54" i="4"/>
  <c r="E53" i="4" l="1"/>
  <c r="I53" i="4"/>
  <c r="J53" i="4" s="1"/>
  <c r="H53" i="4"/>
  <c r="D54" i="4"/>
  <c r="C55" i="4"/>
  <c r="E54" i="4" l="1"/>
  <c r="I54" i="4"/>
  <c r="J54" i="4" s="1"/>
  <c r="H54" i="4"/>
  <c r="D55" i="4"/>
  <c r="C56" i="4"/>
  <c r="E55" i="4" l="1"/>
  <c r="H55" i="4"/>
  <c r="I55" i="4"/>
  <c r="J55" i="4" s="1"/>
  <c r="D56" i="4"/>
  <c r="C57" i="4"/>
  <c r="E56" i="4" l="1"/>
  <c r="I56" i="4"/>
  <c r="J56" i="4" s="1"/>
  <c r="H56" i="4"/>
  <c r="D57" i="4"/>
  <c r="C58" i="4"/>
  <c r="C59" i="4" s="1"/>
  <c r="E57" i="4" l="1"/>
  <c r="H57" i="4"/>
  <c r="I57" i="4"/>
  <c r="J57" i="4" s="1"/>
  <c r="D58" i="4"/>
  <c r="I58" i="4" l="1"/>
  <c r="H58" i="4"/>
  <c r="N9" i="4" s="1"/>
  <c r="N5" i="4"/>
  <c r="E58" i="4"/>
  <c r="N11" i="4" l="1"/>
  <c r="J58" i="4"/>
  <c r="N10" i="4" s="1"/>
  <c r="N3" i="4"/>
  <c r="N7" i="4"/>
  <c r="N8" i="4" s="1"/>
  <c r="F58" i="4"/>
  <c r="G58" i="4" s="1"/>
  <c r="F39" i="4"/>
  <c r="G39" i="4" s="1"/>
  <c r="F38" i="4"/>
  <c r="G38" i="4" s="1"/>
  <c r="F37" i="4"/>
  <c r="G37" i="4" s="1"/>
  <c r="F36" i="4"/>
  <c r="G36" i="4" s="1"/>
  <c r="F35" i="4"/>
  <c r="G35" i="4" s="1"/>
  <c r="F34" i="4"/>
  <c r="G34" i="4" s="1"/>
  <c r="F33" i="4"/>
  <c r="G33" i="4" s="1"/>
  <c r="F32" i="4"/>
  <c r="G32" i="4" s="1"/>
  <c r="F31" i="4"/>
  <c r="G31" i="4" s="1"/>
  <c r="F30" i="4"/>
  <c r="G30" i="4" s="1"/>
  <c r="F29" i="4"/>
  <c r="G29" i="4" s="1"/>
  <c r="F28" i="4"/>
  <c r="G28" i="4" s="1"/>
  <c r="F27" i="4"/>
  <c r="G27" i="4" s="1"/>
  <c r="F26" i="4"/>
  <c r="G26" i="4" s="1"/>
  <c r="F25" i="4"/>
  <c r="G25" i="4" s="1"/>
  <c r="F24" i="4"/>
  <c r="G24" i="4" s="1"/>
  <c r="F23" i="4"/>
  <c r="G23" i="4" s="1"/>
  <c r="F22" i="4"/>
  <c r="G22" i="4" s="1"/>
  <c r="F21" i="4"/>
  <c r="G21" i="4" s="1"/>
  <c r="F20" i="4"/>
  <c r="G20" i="4" s="1"/>
  <c r="F19" i="4"/>
  <c r="G19" i="4" s="1"/>
  <c r="F18" i="4"/>
  <c r="G18" i="4" s="1"/>
  <c r="F43" i="4"/>
  <c r="G43" i="4" s="1"/>
  <c r="F41" i="4"/>
  <c r="G41" i="4" s="1"/>
  <c r="F17" i="4"/>
  <c r="G17" i="4" s="1"/>
  <c r="F16" i="4"/>
  <c r="G16" i="4" s="1"/>
  <c r="F15" i="4"/>
  <c r="G15" i="4" s="1"/>
  <c r="F14" i="4"/>
  <c r="G14" i="4" s="1"/>
  <c r="F13" i="4"/>
  <c r="G13" i="4" s="1"/>
  <c r="F12" i="4"/>
  <c r="G12" i="4" s="1"/>
  <c r="F11" i="4"/>
  <c r="G11" i="4" s="1"/>
  <c r="F3" i="4"/>
  <c r="G3" i="4" s="1"/>
  <c r="F57" i="4"/>
  <c r="G57" i="4" s="1"/>
  <c r="F56" i="4"/>
  <c r="G56" i="4" s="1"/>
  <c r="F55" i="4"/>
  <c r="G55" i="4" s="1"/>
  <c r="F54" i="4"/>
  <c r="G54" i="4" s="1"/>
  <c r="F53" i="4"/>
  <c r="G53" i="4" s="1"/>
  <c r="F52" i="4"/>
  <c r="G52" i="4" s="1"/>
  <c r="F51" i="4"/>
  <c r="G51" i="4" s="1"/>
  <c r="F50" i="4"/>
  <c r="G50" i="4" s="1"/>
  <c r="F49" i="4"/>
  <c r="G49" i="4" s="1"/>
  <c r="F48" i="4"/>
  <c r="G48" i="4" s="1"/>
  <c r="F47" i="4"/>
  <c r="G47" i="4" s="1"/>
  <c r="F46" i="4"/>
  <c r="G46" i="4" s="1"/>
  <c r="F45" i="4"/>
  <c r="G45" i="4" s="1"/>
  <c r="F44" i="4"/>
  <c r="G44" i="4" s="1"/>
  <c r="F42" i="4"/>
  <c r="G42" i="4" s="1"/>
  <c r="F40" i="4"/>
  <c r="G40" i="4" s="1"/>
  <c r="F10" i="4"/>
  <c r="G10" i="4" s="1"/>
  <c r="F9" i="4"/>
  <c r="G9" i="4" s="1"/>
  <c r="F8" i="4"/>
  <c r="G8" i="4" s="1"/>
  <c r="F7" i="4"/>
  <c r="G7" i="4" s="1"/>
  <c r="F5" i="4"/>
  <c r="G5" i="4" s="1"/>
  <c r="F4" i="4"/>
  <c r="G4" i="4" s="1"/>
  <c r="F6" i="4"/>
  <c r="G6" i="4" s="1"/>
  <c r="N6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<sst xmlns="http://schemas.openxmlformats.org/spreadsheetml/2006/main" count="76" uniqueCount="27">
  <si>
    <t xml:space="preserve">Month </t>
  </si>
  <si>
    <t xml:space="preserve">Milk powder </t>
  </si>
  <si>
    <t>Estimate (k=3)</t>
  </si>
  <si>
    <t>Residual</t>
  </si>
  <si>
    <t>Adjusted Estimate</t>
  </si>
  <si>
    <t>Adjusted Residual</t>
  </si>
  <si>
    <t xml:space="preserve">Consumption </t>
  </si>
  <si>
    <t>FMA</t>
  </si>
  <si>
    <t>DMA</t>
  </si>
  <si>
    <t>at</t>
  </si>
  <si>
    <t>bt</t>
  </si>
  <si>
    <t>Estimates</t>
  </si>
  <si>
    <t>Mean of Adjusted Residual</t>
  </si>
  <si>
    <t>Estimate</t>
  </si>
  <si>
    <t>Weights</t>
  </si>
  <si>
    <t>Mean of Residual</t>
  </si>
  <si>
    <t>Residual^2</t>
  </si>
  <si>
    <t>MSE</t>
  </si>
  <si>
    <t>RMSE</t>
  </si>
  <si>
    <t>MAD</t>
  </si>
  <si>
    <t>Absolute Residual</t>
  </si>
  <si>
    <t>% Error</t>
  </si>
  <si>
    <t>% Absolute Error</t>
  </si>
  <si>
    <t>α</t>
  </si>
  <si>
    <t>MAPE (%)</t>
  </si>
  <si>
    <t>MPE (%)</t>
  </si>
  <si>
    <t>(calculated first  for α using solver)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</si>
</sst>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#,##0.000000000"/>
  </numFmts>
  <fonts count="22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6" fillId="0" borderId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6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18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18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18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18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18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4" fontId="6" fillId="0" borderId="0" applyFont="0" applyFill="0" applyBorder="0" applyAlignment="0" applyProtection="0"/>
  </cellStyleXfs>
  <cellXfs count="35">
    <xf numFmtId="0" fontId="0" fillId="0" borderId="0" xfId="0"/>
    <xf numFmtId="0" fontId="5" fillId="0" borderId="10" xfId="0" applyFont="1" applyBorder="1"/>
    <xf numFmtId="17" fontId="0" fillId="0" borderId="10" xfId="0" applyNumberFormat="1" applyBorder="1"/>
    <xf numFmtId="4" fontId="0" fillId="0" borderId="10" xfId="0" applyNumberFormat="1" applyBorder="1"/>
    <xf numFmtId="0" fontId="0" fillId="0" borderId="10" xfId="0" applyBorder="1"/>
    <xf numFmtId="0" fontId="0" fillId="0" borderId="0" xfId="0" applyAlignment="1">
      <alignment horizontal="center" vertical="center"/>
    </xf>
    <xf numFmtId="4" fontId="6" fillId="0" borderId="10" xfId="6" applyNumberFormat="1" applyBorder="1" applyAlignment="1">
      <alignment horizontal="center" vertical="center"/>
    </xf>
    <xf numFmtId="17" fontId="6" fillId="0" borderId="10" xfId="6" applyNumberFormat="1" applyBorder="1" applyAlignment="1">
      <alignment horizontal="center" vertical="center"/>
    </xf>
    <xf numFmtId="4" fontId="0" fillId="0" borderId="0" xfId="0" applyNumberFormat="1"/>
    <xf numFmtId="0" fontId="5" fillId="0" borderId="0" xfId="0" applyFont="1" applyAlignment="1">
      <alignment horizontal="center" vertical="center"/>
    </xf>
    <xf numFmtId="0" fontId="5" fillId="0" borderId="0" xfId="0" applyFont="1"/>
    <xf numFmtId="0" fontId="0" fillId="0" borderId="10" xfId="0" applyBorder="1" applyAlignment="1">
      <alignment horizontal="center"/>
    </xf>
    <xf numFmtId="0" fontId="5" fillId="0" borderId="10" xfId="0" applyFont="1" applyBorder="1" applyAlignment="1">
      <alignment horizontal="center"/>
    </xf>
    <xf numFmtId="2" fontId="0" fillId="0" borderId="10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4" fontId="0" fillId="0" borderId="10" xfId="0" applyNumberFormat="1" applyBorder="1" applyAlignment="1">
      <alignment horizontal="center" vertical="center"/>
    </xf>
    <xf numFmtId="4" fontId="0" fillId="0" borderId="10" xfId="0" applyNumberFormat="1" applyBorder="1" applyAlignment="1">
      <alignment horizontal="center"/>
    </xf>
    <xf numFmtId="2" fontId="0" fillId="0" borderId="10" xfId="0" applyNumberFormat="1" applyBorder="1"/>
    <xf numFmtId="0" fontId="5" fillId="0" borderId="0" xfId="0" applyFont="1" applyAlignment="1">
      <alignment horizontal="center"/>
    </xf>
    <xf numFmtId="164" fontId="0" fillId="0" borderId="10" xfId="0" applyNumberFormat="1" applyBorder="1"/>
    <xf numFmtId="4" fontId="0" fillId="34" borderId="10" xfId="0" applyNumberFormat="1" applyFill="1" applyBorder="1"/>
    <xf numFmtId="0" fontId="5" fillId="35" borderId="10" xfId="0" applyFont="1" applyFill="1" applyBorder="1" applyAlignment="1">
      <alignment horizontal="center" vertical="center"/>
    </xf>
    <xf numFmtId="0" fontId="5" fillId="36" borderId="10" xfId="0" applyFont="1" applyFill="1" applyBorder="1" applyAlignment="1">
      <alignment horizontal="center" vertical="center"/>
    </xf>
    <xf numFmtId="4" fontId="6" fillId="34" borderId="10" xfId="6" applyNumberFormat="1" applyFill="1" applyBorder="1" applyAlignment="1">
      <alignment horizontal="center" vertical="center"/>
    </xf>
    <xf numFmtId="17" fontId="6" fillId="33" borderId="10" xfId="6" applyNumberFormat="1" applyFill="1" applyBorder="1" applyAlignment="1">
      <alignment horizontal="center" vertical="center"/>
    </xf>
    <xf numFmtId="3" fontId="6" fillId="33" borderId="10" xfId="6" applyNumberFormat="1" applyFill="1" applyBorder="1" applyAlignment="1">
      <alignment horizontal="center" vertical="center"/>
    </xf>
    <xf numFmtId="0" fontId="19" fillId="35" borderId="10" xfId="6" applyFont="1" applyFill="1" applyBorder="1" applyAlignment="1">
      <alignment horizontal="center" vertical="center"/>
    </xf>
    <xf numFmtId="0" fontId="20" fillId="35" borderId="10" xfId="0" applyFont="1" applyFill="1" applyBorder="1" applyAlignment="1">
      <alignment horizontal="center" vertical="center"/>
    </xf>
    <xf numFmtId="0" fontId="5" fillId="36" borderId="10" xfId="0" applyFont="1" applyFill="1" applyBorder="1" applyAlignment="1">
      <alignment horizontal="center"/>
    </xf>
    <xf numFmtId="0" fontId="17" fillId="35" borderId="10" xfId="6" applyFont="1" applyFill="1" applyBorder="1" applyAlignment="1">
      <alignment horizontal="center" vertical="center"/>
    </xf>
    <xf numFmtId="0" fontId="0" fillId="34" borderId="10" xfId="0" applyFill="1" applyBorder="1"/>
    <xf numFmtId="17" fontId="0" fillId="33" borderId="10" xfId="0" applyNumberFormat="1" applyFill="1" applyBorder="1"/>
    <xf numFmtId="2" fontId="0" fillId="0" borderId="10" xfId="0" applyNumberFormat="1" applyBorder="1" applyAlignment="1">
      <alignment horizontal="center"/>
    </xf>
    <xf numFmtId="0" fontId="21" fillId="0" borderId="0" xfId="0" applyFont="1"/>
  </cellXfs>
  <cellStyles count="44">
    <cellStyle name="20% - Accent1 2" xfId="20" xr:uid="{E92C9A29-728F-4D84-879F-0446BC852216}"/>
    <cellStyle name="20% - Accent2 2" xfId="24" xr:uid="{9E66B642-6F54-4D25-B23D-729A833AA54D}"/>
    <cellStyle name="20% - Accent3 2" xfId="28" xr:uid="{81FCF722-3634-4E00-A368-28DD80197D7F}"/>
    <cellStyle name="20% - Accent4 2" xfId="32" xr:uid="{EE01F53E-EBC9-4D87-99BB-AE1792CCFD4E}"/>
    <cellStyle name="20% - Accent5 2" xfId="36" xr:uid="{F4221341-C486-4378-95A9-B52F4E528C0B}"/>
    <cellStyle name="20% - Accent6 2" xfId="40" xr:uid="{8670B2DF-F611-4A21-8F2F-D54EB2AF42C6}"/>
    <cellStyle name="40% - Accent1 2" xfId="21" xr:uid="{1929CC09-33C3-40A5-B62E-B5DE5729895E}"/>
    <cellStyle name="40% - Accent2 2" xfId="25" xr:uid="{B58DBD66-20E9-4EF7-A964-87386F76BE96}"/>
    <cellStyle name="40% - Accent3 2" xfId="29" xr:uid="{540352D6-B6CE-4121-832E-AA14FD0C9B87}"/>
    <cellStyle name="40% - Accent4 2" xfId="33" xr:uid="{27071841-9CE4-4253-AEE1-34A9A374AA9A}"/>
    <cellStyle name="40% - Accent5 2" xfId="37" xr:uid="{400ACB7C-888A-4954-B196-567D47B23B4D}"/>
    <cellStyle name="40% - Accent6 2" xfId="41" xr:uid="{5ACAB51C-13E8-4814-A80E-35B3FC151EDA}"/>
    <cellStyle name="60% - Accent1 2" xfId="22" xr:uid="{602462E5-37A7-428F-BBC2-585EC07E3A5E}"/>
    <cellStyle name="60% - Accent2 2" xfId="26" xr:uid="{BB261508-D8EF-4A96-AF42-527731EF886E}"/>
    <cellStyle name="60% - Accent3 2" xfId="30" xr:uid="{D1312871-2F1F-4C81-90BA-6F81D1881623}"/>
    <cellStyle name="60% - Accent4 2" xfId="34" xr:uid="{C3AB52DB-C3A6-4584-887F-B94F07DAAFDE}"/>
    <cellStyle name="60% - Accent5 2" xfId="38" xr:uid="{0F592256-945A-4EDB-91C8-AEE459DE6E32}"/>
    <cellStyle name="60% - Accent6 2" xfId="42" xr:uid="{42D96660-7DD4-44A7-B7E8-9563F4F9620D}"/>
    <cellStyle name="Accent1 2" xfId="19" xr:uid="{7A70B90D-5792-464D-B0CC-42FC0490074F}"/>
    <cellStyle name="Accent2 2" xfId="23" xr:uid="{C47A86C3-7228-4778-9509-6FB12CAD22BB}"/>
    <cellStyle name="Accent3 2" xfId="27" xr:uid="{84C6899D-28E9-442C-9090-0DACFAF1F13E}"/>
    <cellStyle name="Accent4 2" xfId="31" xr:uid="{841F4121-6B80-4A04-8269-260FAE9B8B95}"/>
    <cellStyle name="Accent5 2" xfId="35" xr:uid="{4372CF78-8AD8-4524-A25E-187D0039A61A}"/>
    <cellStyle name="Accent6 2" xfId="39" xr:uid="{432BE103-69C7-4201-BD43-CA63C24BC4D0}"/>
    <cellStyle name="Bad 2" xfId="8" xr:uid="{51EBB026-74C5-4506-8D99-16E469879595}"/>
    <cellStyle name="Calculation 2" xfId="12" xr:uid="{7DE74E14-17C9-4007-8DB2-D5CBAB5FF580}"/>
    <cellStyle name="Check Cell 2" xfId="14" xr:uid="{B1A0802A-416B-41A9-A641-EE54C73D4E48}"/>
    <cellStyle name="Currency 2" xfId="43" xr:uid="{BF6A1734-8089-489E-9EEB-ED396DD99B7B}"/>
    <cellStyle name="Explanatory Text 2" xfId="17" xr:uid="{75120D4B-3B2B-4DD9-8E5B-FCA7CBAB630C}"/>
    <cellStyle name="Good 2" xfId="7" xr:uid="{9C95FE99-959A-4FE5-BC4A-AAF5B81CBC98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 2" xfId="10" xr:uid="{6FBE8292-DEC4-4E6C-94CF-C6FD452562E5}"/>
    <cellStyle name="Linked Cell 2" xfId="13" xr:uid="{B6A3BD75-4BE6-4C45-A82C-C9D12B5A48AA}"/>
    <cellStyle name="Neutral 2" xfId="9" xr:uid="{153DFA62-40B7-476A-A207-890F9F8EDE4B}"/>
    <cellStyle name="Normal" xfId="0" builtinId="0"/>
    <cellStyle name="Normal 2" xfId="6" xr:uid="{408DDAEB-AE2C-4689-9AF5-34D3D76FC722}"/>
    <cellStyle name="Note 2" xfId="16" xr:uid="{61B4A86D-19B0-46E8-AE89-113B05C58EB5}"/>
    <cellStyle name="Output 2" xfId="11" xr:uid="{B41B6384-0B33-4D50-B23D-30495DFE44E0}"/>
    <cellStyle name="Title" xfId="1" builtinId="15" customBuiltin="1"/>
    <cellStyle name="Total 2" xfId="18" xr:uid="{33E6AC14-A549-4D1D-B73A-59816F268F02}"/>
    <cellStyle name="Warning Text 2" xfId="15" xr:uid="{8B807AA8-84DE-45A2-811F-7793AC32D6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B1A57-0133-4317-A1CE-AC8EF77CD733}">
  <dimension ref="A1:M60"/>
  <sheetViews>
    <sheetView workbookViewId="0">
      <selection activeCell="M22" sqref="M22"/>
    </sheetView>
  </sheetViews>
  <sheetFormatPr defaultRowHeight="14.3" x14ac:dyDescent="0.25"/>
  <cols>
    <col min="2" max="2" width="12" bestFit="1" customWidth="1"/>
    <col min="3" max="3" width="13.75" bestFit="1" customWidth="1"/>
    <col min="4" max="4" width="10.125" bestFit="1" customWidth="1"/>
    <col min="5" max="5" width="17.375" bestFit="1" customWidth="1"/>
    <col min="6" max="6" width="17.25" bestFit="1" customWidth="1"/>
    <col min="7" max="7" width="20.75" bestFit="1" customWidth="1"/>
    <col min="8" max="8" width="17.25" bestFit="1" customWidth="1"/>
    <col min="9" max="9" width="7.625" bestFit="1" customWidth="1"/>
    <col min="10" max="10" width="15.75" bestFit="1" customWidth="1"/>
    <col min="12" max="12" width="25.25" bestFit="1" customWidth="1"/>
    <col min="13" max="13" width="15.375" bestFit="1" customWidth="1"/>
  </cols>
  <sheetData>
    <row r="1" spans="1:13" s="5" customFormat="1" x14ac:dyDescent="0.2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16</v>
      </c>
      <c r="H1" s="22" t="s">
        <v>20</v>
      </c>
      <c r="I1" s="22" t="s">
        <v>21</v>
      </c>
      <c r="J1" s="22" t="s">
        <v>22</v>
      </c>
    </row>
    <row r="2" spans="1:13" x14ac:dyDescent="0.25">
      <c r="A2" s="1"/>
      <c r="B2" s="1"/>
      <c r="C2" s="1"/>
      <c r="D2" s="1"/>
      <c r="E2" s="1"/>
      <c r="F2" s="4"/>
      <c r="G2" s="4"/>
      <c r="H2" s="4"/>
      <c r="I2" s="4"/>
      <c r="J2" s="4"/>
      <c r="L2" s="23" t="s">
        <v>15</v>
      </c>
      <c r="M2" s="16">
        <f>AVERAGE(D6:D59)</f>
        <v>436.27283950617277</v>
      </c>
    </row>
    <row r="3" spans="1:13" x14ac:dyDescent="0.25">
      <c r="A3" s="2">
        <v>44378</v>
      </c>
      <c r="B3" s="3">
        <v>14104</v>
      </c>
      <c r="C3" s="3"/>
      <c r="D3" s="3"/>
      <c r="E3" s="3"/>
      <c r="F3" s="3"/>
      <c r="G3" s="3"/>
      <c r="H3" s="3"/>
      <c r="I3" s="3"/>
      <c r="J3" s="3"/>
      <c r="L3" s="23" t="s">
        <v>12</v>
      </c>
      <c r="M3" s="17">
        <f>AVERAGE(F6:F59)</f>
        <v>9.7686467968203413E-13</v>
      </c>
    </row>
    <row r="4" spans="1:13" x14ac:dyDescent="0.25">
      <c r="A4" s="2">
        <v>44409</v>
      </c>
      <c r="B4" s="3">
        <v>12626.7</v>
      </c>
      <c r="C4" s="3"/>
      <c r="D4" s="3"/>
      <c r="E4" s="3"/>
      <c r="F4" s="3"/>
      <c r="G4" s="3"/>
      <c r="H4" s="3"/>
      <c r="I4" s="3"/>
      <c r="J4" s="3"/>
      <c r="L4" s="23" t="s">
        <v>17</v>
      </c>
      <c r="M4" s="17">
        <f>AVERAGE(G6:G59)</f>
        <v>23757491.783004116</v>
      </c>
    </row>
    <row r="5" spans="1:13" x14ac:dyDescent="0.25">
      <c r="A5" s="2">
        <v>44440</v>
      </c>
      <c r="B5" s="3">
        <v>15729.7</v>
      </c>
      <c r="C5" s="3"/>
      <c r="D5" s="3"/>
      <c r="E5" s="3"/>
      <c r="F5" s="3"/>
      <c r="G5" s="3"/>
      <c r="H5" s="3"/>
      <c r="I5" s="3"/>
      <c r="J5" s="3"/>
      <c r="L5" s="23" t="s">
        <v>18</v>
      </c>
      <c r="M5" s="17">
        <f>SQRT(M4)</f>
        <v>4874.1657525164364</v>
      </c>
    </row>
    <row r="6" spans="1:13" x14ac:dyDescent="0.25">
      <c r="A6" s="2">
        <v>44470</v>
      </c>
      <c r="B6" s="3">
        <v>12004</v>
      </c>
      <c r="C6" s="3">
        <f>SUM(B3,B4,B5)/3</f>
        <v>14153.466666666667</v>
      </c>
      <c r="D6" s="3">
        <f>B6-C6</f>
        <v>-2149.4666666666672</v>
      </c>
      <c r="E6" s="3">
        <f>C6+$M$2</f>
        <v>14589.73950617284</v>
      </c>
      <c r="F6" s="3">
        <f t="shared" ref="F6:F37" si="0">B6-E6</f>
        <v>-2585.7395061728403</v>
      </c>
      <c r="G6" s="3">
        <f t="shared" ref="G6:G37" si="1">D6^2</f>
        <v>4620206.9511111137</v>
      </c>
      <c r="H6" s="3">
        <f t="shared" ref="H6:H37" si="2">ABS(D6)</f>
        <v>2149.4666666666672</v>
      </c>
      <c r="I6" s="3">
        <f t="shared" ref="I6:I37" si="3">(D6/B6)*100</f>
        <v>-17.906253471065202</v>
      </c>
      <c r="J6" s="3">
        <f>ABS(I6)</f>
        <v>17.906253471065202</v>
      </c>
      <c r="L6" s="23" t="s">
        <v>19</v>
      </c>
      <c r="M6" s="17">
        <f>AVERAGE(H6:H59)</f>
        <v>3967.4308641975308</v>
      </c>
    </row>
    <row r="7" spans="1:13" x14ac:dyDescent="0.25">
      <c r="A7" s="2">
        <v>44501</v>
      </c>
      <c r="B7" s="3">
        <v>18036.2</v>
      </c>
      <c r="C7" s="3">
        <f>SUM(B4,B5,B6)/3</f>
        <v>13453.466666666667</v>
      </c>
      <c r="D7" s="3">
        <f t="shared" ref="D7:D59" si="4">B7-C7</f>
        <v>4582.7333333333336</v>
      </c>
      <c r="E7" s="3">
        <f t="shared" ref="E7:E59" si="5">C7+$M$2</f>
        <v>13889.73950617284</v>
      </c>
      <c r="F7" s="3">
        <f t="shared" si="0"/>
        <v>4146.4604938271605</v>
      </c>
      <c r="G7" s="3">
        <f t="shared" si="1"/>
        <v>21001444.804444447</v>
      </c>
      <c r="H7" s="3">
        <f t="shared" si="2"/>
        <v>4582.7333333333336</v>
      </c>
      <c r="I7" s="3">
        <f t="shared" si="3"/>
        <v>25.408530252122585</v>
      </c>
      <c r="J7" s="3">
        <f t="shared" ref="J7:J59" si="6">ABS(I7)</f>
        <v>25.408530252122585</v>
      </c>
      <c r="L7" s="23" t="s">
        <v>24</v>
      </c>
      <c r="M7" s="17">
        <f>AVERAGE(J6:J59)</f>
        <v>18.534428183222037</v>
      </c>
    </row>
    <row r="8" spans="1:13" x14ac:dyDescent="0.25">
      <c r="A8" s="2">
        <v>44531</v>
      </c>
      <c r="B8" s="3">
        <v>16470.3</v>
      </c>
      <c r="C8" s="3">
        <f>SUM(B5,B6,B7)/3</f>
        <v>15256.633333333333</v>
      </c>
      <c r="D8" s="3">
        <f t="shared" si="4"/>
        <v>1213.6666666666661</v>
      </c>
      <c r="E8" s="3">
        <f t="shared" si="5"/>
        <v>15692.906172839506</v>
      </c>
      <c r="F8" s="3">
        <f t="shared" si="0"/>
        <v>777.39382716049295</v>
      </c>
      <c r="G8" s="3">
        <f t="shared" si="1"/>
        <v>1472986.7777777764</v>
      </c>
      <c r="H8" s="3">
        <f t="shared" si="2"/>
        <v>1213.6666666666661</v>
      </c>
      <c r="I8" s="3">
        <f t="shared" si="3"/>
        <v>7.3688194305305075</v>
      </c>
      <c r="J8" s="3">
        <f t="shared" si="6"/>
        <v>7.3688194305305075</v>
      </c>
      <c r="L8" s="23" t="s">
        <v>25</v>
      </c>
      <c r="M8" s="17">
        <f>AVERAGE(I6:I59)</f>
        <v>-1.0263578788061618</v>
      </c>
    </row>
    <row r="9" spans="1:13" x14ac:dyDescent="0.25">
      <c r="A9" s="2">
        <v>44562</v>
      </c>
      <c r="B9" s="3">
        <v>27767.1</v>
      </c>
      <c r="C9" s="3">
        <f t="shared" ref="C9:C58" si="7">SUM(B6,B7,B8)/3</f>
        <v>15503.5</v>
      </c>
      <c r="D9" s="3">
        <f t="shared" si="4"/>
        <v>12263.599999999999</v>
      </c>
      <c r="E9" s="3">
        <f t="shared" si="5"/>
        <v>15939.772839506173</v>
      </c>
      <c r="F9" s="3">
        <f t="shared" si="0"/>
        <v>11827.327160493825</v>
      </c>
      <c r="G9" s="3">
        <f t="shared" si="1"/>
        <v>150395884.95999998</v>
      </c>
      <c r="H9" s="3">
        <f t="shared" si="2"/>
        <v>12263.599999999999</v>
      </c>
      <c r="I9" s="3">
        <f t="shared" si="3"/>
        <v>44.165937386331308</v>
      </c>
      <c r="J9" s="3">
        <f t="shared" si="6"/>
        <v>44.165937386331308</v>
      </c>
      <c r="L9" s="10"/>
      <c r="M9" s="15"/>
    </row>
    <row r="10" spans="1:13" x14ac:dyDescent="0.25">
      <c r="A10" s="2">
        <v>44593</v>
      </c>
      <c r="B10" s="3">
        <v>19821.5</v>
      </c>
      <c r="C10" s="3">
        <f>SUM(B7,B8,B9)/3</f>
        <v>20757.866666666665</v>
      </c>
      <c r="D10" s="3">
        <f t="shared" si="4"/>
        <v>-936.36666666666497</v>
      </c>
      <c r="E10" s="3">
        <f t="shared" si="5"/>
        <v>21194.139506172836</v>
      </c>
      <c r="F10" s="3">
        <f t="shared" si="0"/>
        <v>-1372.6395061728363</v>
      </c>
      <c r="G10" s="3">
        <f t="shared" si="1"/>
        <v>876782.53444444132</v>
      </c>
      <c r="H10" s="3">
        <f t="shared" si="2"/>
        <v>936.36666666666497</v>
      </c>
      <c r="I10" s="3">
        <f t="shared" si="3"/>
        <v>-4.7239949886066395</v>
      </c>
      <c r="J10" s="3">
        <f t="shared" si="6"/>
        <v>4.7239949886066395</v>
      </c>
      <c r="L10" s="10"/>
    </row>
    <row r="11" spans="1:13" x14ac:dyDescent="0.25">
      <c r="A11" s="2">
        <v>44621</v>
      </c>
      <c r="B11" s="3">
        <v>18838.3</v>
      </c>
      <c r="C11" s="3">
        <f t="shared" si="7"/>
        <v>21352.966666666664</v>
      </c>
      <c r="D11" s="3">
        <f t="shared" si="4"/>
        <v>-2514.6666666666642</v>
      </c>
      <c r="E11" s="3">
        <f t="shared" si="5"/>
        <v>21789.239506172835</v>
      </c>
      <c r="F11" s="3">
        <f t="shared" si="0"/>
        <v>-2950.9395061728355</v>
      </c>
      <c r="G11" s="3">
        <f t="shared" si="1"/>
        <v>6323548.4444444319</v>
      </c>
      <c r="H11" s="3">
        <f t="shared" si="2"/>
        <v>2514.6666666666642</v>
      </c>
      <c r="I11" s="3">
        <f t="shared" si="3"/>
        <v>-13.348692114822805</v>
      </c>
      <c r="J11" s="3">
        <f t="shared" si="6"/>
        <v>13.348692114822805</v>
      </c>
      <c r="L11" s="10"/>
    </row>
    <row r="12" spans="1:13" x14ac:dyDescent="0.25">
      <c r="A12" s="2">
        <v>44652</v>
      </c>
      <c r="B12" s="3">
        <v>14427.8</v>
      </c>
      <c r="C12" s="3">
        <f>SUM(B9,B10,B11)/3</f>
        <v>22142.3</v>
      </c>
      <c r="D12" s="3">
        <f t="shared" si="4"/>
        <v>-7714.5</v>
      </c>
      <c r="E12" s="3">
        <f t="shared" si="5"/>
        <v>22578.572839506171</v>
      </c>
      <c r="F12" s="3">
        <f t="shared" si="0"/>
        <v>-8150.7728395061713</v>
      </c>
      <c r="G12" s="3">
        <f t="shared" si="1"/>
        <v>59513510.25</v>
      </c>
      <c r="H12" s="3">
        <f t="shared" si="2"/>
        <v>7714.5</v>
      </c>
      <c r="I12" s="3">
        <f t="shared" si="3"/>
        <v>-53.469690458697791</v>
      </c>
      <c r="J12" s="3">
        <f t="shared" si="6"/>
        <v>53.469690458697791</v>
      </c>
      <c r="L12" s="10"/>
    </row>
    <row r="13" spans="1:13" x14ac:dyDescent="0.25">
      <c r="A13" s="2">
        <v>44682</v>
      </c>
      <c r="B13" s="3">
        <v>15910.5</v>
      </c>
      <c r="C13" s="3">
        <f t="shared" si="7"/>
        <v>17695.866666666669</v>
      </c>
      <c r="D13" s="3">
        <f t="shared" si="4"/>
        <v>-1785.3666666666686</v>
      </c>
      <c r="E13" s="3">
        <f t="shared" si="5"/>
        <v>18132.13950617284</v>
      </c>
      <c r="F13" s="3">
        <f t="shared" si="0"/>
        <v>-2221.6395061728399</v>
      </c>
      <c r="G13" s="3">
        <f t="shared" si="1"/>
        <v>3187534.1344444514</v>
      </c>
      <c r="H13" s="3">
        <f t="shared" si="2"/>
        <v>1785.3666666666686</v>
      </c>
      <c r="I13" s="3">
        <f t="shared" si="3"/>
        <v>-11.221310874370188</v>
      </c>
      <c r="J13" s="3">
        <f t="shared" si="6"/>
        <v>11.221310874370188</v>
      </c>
      <c r="L13" s="10"/>
    </row>
    <row r="14" spans="1:13" x14ac:dyDescent="0.25">
      <c r="A14" s="2">
        <v>44713</v>
      </c>
      <c r="B14" s="3">
        <v>14883.4</v>
      </c>
      <c r="C14" s="3">
        <f t="shared" si="7"/>
        <v>16392.2</v>
      </c>
      <c r="D14" s="3">
        <f t="shared" si="4"/>
        <v>-1508.8000000000011</v>
      </c>
      <c r="E14" s="3">
        <f t="shared" si="5"/>
        <v>16828.472839506172</v>
      </c>
      <c r="F14" s="3">
        <f t="shared" si="0"/>
        <v>-1945.0728395061724</v>
      </c>
      <c r="G14" s="3">
        <f t="shared" si="1"/>
        <v>2276477.4400000032</v>
      </c>
      <c r="H14" s="3">
        <f t="shared" si="2"/>
        <v>1508.8000000000011</v>
      </c>
      <c r="I14" s="3">
        <f t="shared" si="3"/>
        <v>-10.137468589166462</v>
      </c>
      <c r="J14" s="3">
        <f t="shared" si="6"/>
        <v>10.137468589166462</v>
      </c>
    </row>
    <row r="15" spans="1:13" x14ac:dyDescent="0.25">
      <c r="A15" s="2">
        <v>44743</v>
      </c>
      <c r="B15" s="3">
        <v>17078.2</v>
      </c>
      <c r="C15" s="3">
        <f t="shared" si="7"/>
        <v>15073.9</v>
      </c>
      <c r="D15" s="3">
        <f t="shared" si="4"/>
        <v>2004.3000000000011</v>
      </c>
      <c r="E15" s="3">
        <f t="shared" si="5"/>
        <v>15510.172839506173</v>
      </c>
      <c r="F15" s="3">
        <f t="shared" si="0"/>
        <v>1568.027160493828</v>
      </c>
      <c r="G15" s="3">
        <f t="shared" si="1"/>
        <v>4017218.4900000044</v>
      </c>
      <c r="H15" s="3">
        <f t="shared" si="2"/>
        <v>2004.3000000000011</v>
      </c>
      <c r="I15" s="3">
        <f t="shared" si="3"/>
        <v>11.736014334063315</v>
      </c>
      <c r="J15" s="3">
        <f t="shared" si="6"/>
        <v>11.736014334063315</v>
      </c>
    </row>
    <row r="16" spans="1:13" x14ac:dyDescent="0.25">
      <c r="A16" s="2">
        <v>44774</v>
      </c>
      <c r="B16" s="3">
        <v>14083.9</v>
      </c>
      <c r="C16" s="3">
        <f t="shared" si="7"/>
        <v>15957.366666666669</v>
      </c>
      <c r="D16" s="3">
        <f t="shared" si="4"/>
        <v>-1873.466666666669</v>
      </c>
      <c r="E16" s="3">
        <f t="shared" si="5"/>
        <v>16393.63950617284</v>
      </c>
      <c r="F16" s="3">
        <f t="shared" si="0"/>
        <v>-2309.7395061728403</v>
      </c>
      <c r="G16" s="3">
        <f t="shared" si="1"/>
        <v>3509877.3511111196</v>
      </c>
      <c r="H16" s="3">
        <f t="shared" si="2"/>
        <v>1873.466666666669</v>
      </c>
      <c r="I16" s="3">
        <f t="shared" si="3"/>
        <v>-13.302186657578291</v>
      </c>
      <c r="J16" s="3">
        <f t="shared" si="6"/>
        <v>13.302186657578291</v>
      </c>
    </row>
    <row r="17" spans="1:10" x14ac:dyDescent="0.25">
      <c r="A17" s="2">
        <v>44805</v>
      </c>
      <c r="B17" s="3">
        <v>14231.4</v>
      </c>
      <c r="C17" s="3">
        <f t="shared" si="7"/>
        <v>15348.5</v>
      </c>
      <c r="D17" s="3">
        <f t="shared" si="4"/>
        <v>-1117.1000000000004</v>
      </c>
      <c r="E17" s="3">
        <f t="shared" si="5"/>
        <v>15784.772839506173</v>
      </c>
      <c r="F17" s="3">
        <f t="shared" si="0"/>
        <v>-1553.3728395061735</v>
      </c>
      <c r="G17" s="3">
        <f t="shared" si="1"/>
        <v>1247912.4100000008</v>
      </c>
      <c r="H17" s="3">
        <f t="shared" si="2"/>
        <v>1117.1000000000004</v>
      </c>
      <c r="I17" s="3">
        <f t="shared" si="3"/>
        <v>-7.8495439661593407</v>
      </c>
      <c r="J17" s="3">
        <f t="shared" si="6"/>
        <v>7.8495439661593407</v>
      </c>
    </row>
    <row r="18" spans="1:10" x14ac:dyDescent="0.25">
      <c r="A18" s="2">
        <v>44835</v>
      </c>
      <c r="B18" s="3">
        <v>16735</v>
      </c>
      <c r="C18" s="3">
        <f t="shared" si="7"/>
        <v>15131.166666666666</v>
      </c>
      <c r="D18" s="3">
        <f t="shared" si="4"/>
        <v>1603.8333333333339</v>
      </c>
      <c r="E18" s="3">
        <f t="shared" si="5"/>
        <v>15567.439506172839</v>
      </c>
      <c r="F18" s="3">
        <f t="shared" si="0"/>
        <v>1167.5604938271608</v>
      </c>
      <c r="G18" s="3">
        <f t="shared" si="1"/>
        <v>2572281.3611111129</v>
      </c>
      <c r="H18" s="3">
        <f t="shared" si="2"/>
        <v>1603.8333333333339</v>
      </c>
      <c r="I18" s="3">
        <f t="shared" si="3"/>
        <v>9.5837068021113474</v>
      </c>
      <c r="J18" s="3">
        <f t="shared" si="6"/>
        <v>9.5837068021113474</v>
      </c>
    </row>
    <row r="19" spans="1:10" x14ac:dyDescent="0.25">
      <c r="A19" s="2">
        <v>44866</v>
      </c>
      <c r="B19" s="3">
        <v>21493.9</v>
      </c>
      <c r="C19" s="3">
        <f t="shared" si="7"/>
        <v>15016.766666666668</v>
      </c>
      <c r="D19" s="3">
        <f t="shared" si="4"/>
        <v>6477.1333333333332</v>
      </c>
      <c r="E19" s="3">
        <f t="shared" si="5"/>
        <v>15453.039506172841</v>
      </c>
      <c r="F19" s="3">
        <f t="shared" si="0"/>
        <v>6040.8604938271601</v>
      </c>
      <c r="G19" s="3">
        <f t="shared" si="1"/>
        <v>41953256.217777774</v>
      </c>
      <c r="H19" s="3">
        <f t="shared" si="2"/>
        <v>6477.1333333333332</v>
      </c>
      <c r="I19" s="3">
        <f t="shared" si="3"/>
        <v>30.134751410089994</v>
      </c>
      <c r="J19" s="3">
        <f t="shared" si="6"/>
        <v>30.134751410089994</v>
      </c>
    </row>
    <row r="20" spans="1:10" x14ac:dyDescent="0.25">
      <c r="A20" s="2">
        <v>44896</v>
      </c>
      <c r="B20" s="3">
        <v>26466.3</v>
      </c>
      <c r="C20" s="3">
        <f t="shared" si="7"/>
        <v>17486.766666666666</v>
      </c>
      <c r="D20" s="3">
        <f t="shared" si="4"/>
        <v>8979.5333333333328</v>
      </c>
      <c r="E20" s="3">
        <f t="shared" si="5"/>
        <v>17923.039506172838</v>
      </c>
      <c r="F20" s="3">
        <f t="shared" si="0"/>
        <v>8543.2604938271616</v>
      </c>
      <c r="G20" s="3">
        <f t="shared" si="1"/>
        <v>80632018.88444443</v>
      </c>
      <c r="H20" s="3">
        <f t="shared" si="2"/>
        <v>8979.5333333333328</v>
      </c>
      <c r="I20" s="3">
        <f t="shared" si="3"/>
        <v>33.928177846292577</v>
      </c>
      <c r="J20" s="3">
        <f t="shared" si="6"/>
        <v>33.928177846292577</v>
      </c>
    </row>
    <row r="21" spans="1:10" x14ac:dyDescent="0.25">
      <c r="A21" s="2">
        <v>44927</v>
      </c>
      <c r="B21" s="3">
        <v>30370.2</v>
      </c>
      <c r="C21" s="3">
        <f t="shared" si="7"/>
        <v>21565.066666666666</v>
      </c>
      <c r="D21" s="3">
        <f t="shared" si="4"/>
        <v>8805.133333333335</v>
      </c>
      <c r="E21" s="3">
        <f t="shared" si="5"/>
        <v>22001.339506172837</v>
      </c>
      <c r="F21" s="3">
        <f t="shared" si="0"/>
        <v>8368.8604938271637</v>
      </c>
      <c r="G21" s="3">
        <f t="shared" si="1"/>
        <v>77530373.017777801</v>
      </c>
      <c r="H21" s="3">
        <f t="shared" si="2"/>
        <v>8805.133333333335</v>
      </c>
      <c r="I21" s="3">
        <f t="shared" si="3"/>
        <v>28.992674836956407</v>
      </c>
      <c r="J21" s="3">
        <f t="shared" si="6"/>
        <v>28.992674836956407</v>
      </c>
    </row>
    <row r="22" spans="1:10" x14ac:dyDescent="0.25">
      <c r="A22" s="2">
        <v>44958</v>
      </c>
      <c r="B22" s="3">
        <v>26062.5</v>
      </c>
      <c r="C22" s="3">
        <f t="shared" si="7"/>
        <v>26110.133333333331</v>
      </c>
      <c r="D22" s="3">
        <f t="shared" si="4"/>
        <v>-47.633333333331393</v>
      </c>
      <c r="E22" s="3">
        <f t="shared" si="5"/>
        <v>26546.406172839503</v>
      </c>
      <c r="F22" s="3">
        <f t="shared" si="0"/>
        <v>-483.90617283950269</v>
      </c>
      <c r="G22" s="3">
        <f t="shared" si="1"/>
        <v>2268.9344444442595</v>
      </c>
      <c r="H22" s="3">
        <f t="shared" si="2"/>
        <v>47.633333333331393</v>
      </c>
      <c r="I22" s="3">
        <f t="shared" si="3"/>
        <v>-0.18276578737009647</v>
      </c>
      <c r="J22" s="3">
        <f t="shared" si="6"/>
        <v>0.18276578737009647</v>
      </c>
    </row>
    <row r="23" spans="1:10" x14ac:dyDescent="0.25">
      <c r="A23" s="2">
        <v>44986</v>
      </c>
      <c r="B23" s="3">
        <v>24991.1</v>
      </c>
      <c r="C23" s="3">
        <f t="shared" si="7"/>
        <v>27633</v>
      </c>
      <c r="D23" s="3">
        <f t="shared" si="4"/>
        <v>-2641.9000000000015</v>
      </c>
      <c r="E23" s="3">
        <f t="shared" si="5"/>
        <v>28069.272839506171</v>
      </c>
      <c r="F23" s="3">
        <f t="shared" si="0"/>
        <v>-3078.1728395061727</v>
      </c>
      <c r="G23" s="3">
        <f t="shared" si="1"/>
        <v>6979635.6100000078</v>
      </c>
      <c r="H23" s="3">
        <f t="shared" si="2"/>
        <v>2641.9000000000015</v>
      </c>
      <c r="I23" s="3">
        <f t="shared" si="3"/>
        <v>-10.571363405372319</v>
      </c>
      <c r="J23" s="3">
        <f t="shared" si="6"/>
        <v>10.571363405372319</v>
      </c>
    </row>
    <row r="24" spans="1:10" x14ac:dyDescent="0.25">
      <c r="A24" s="2">
        <v>45017</v>
      </c>
      <c r="B24" s="3">
        <v>22007.9</v>
      </c>
      <c r="C24" s="3">
        <f t="shared" si="7"/>
        <v>27141.266666666663</v>
      </c>
      <c r="D24" s="3">
        <f t="shared" si="4"/>
        <v>-5133.3666666666613</v>
      </c>
      <c r="E24" s="3">
        <f t="shared" si="5"/>
        <v>27577.539506172834</v>
      </c>
      <c r="F24" s="3">
        <f t="shared" si="0"/>
        <v>-5569.6395061728326</v>
      </c>
      <c r="G24" s="3">
        <f t="shared" si="1"/>
        <v>26351453.334444389</v>
      </c>
      <c r="H24" s="3">
        <f t="shared" si="2"/>
        <v>5133.3666666666613</v>
      </c>
      <c r="I24" s="3">
        <f t="shared" si="3"/>
        <v>-23.325109013884383</v>
      </c>
      <c r="J24" s="3">
        <f t="shared" si="6"/>
        <v>23.325109013884383</v>
      </c>
    </row>
    <row r="25" spans="1:10" x14ac:dyDescent="0.25">
      <c r="A25" s="2">
        <v>45047</v>
      </c>
      <c r="B25" s="3">
        <v>17815.8</v>
      </c>
      <c r="C25" s="3">
        <f t="shared" si="7"/>
        <v>24353.833333333332</v>
      </c>
      <c r="D25" s="3">
        <f t="shared" si="4"/>
        <v>-6538.0333333333328</v>
      </c>
      <c r="E25" s="3">
        <f t="shared" si="5"/>
        <v>24790.106172839503</v>
      </c>
      <c r="F25" s="3">
        <f t="shared" si="0"/>
        <v>-6974.3061728395041</v>
      </c>
      <c r="G25" s="3">
        <f t="shared" si="1"/>
        <v>42745879.867777772</v>
      </c>
      <c r="H25" s="3">
        <f t="shared" si="2"/>
        <v>6538.0333333333328</v>
      </c>
      <c r="I25" s="3">
        <f t="shared" si="3"/>
        <v>-36.697949759950902</v>
      </c>
      <c r="J25" s="3">
        <f t="shared" si="6"/>
        <v>36.697949759950902</v>
      </c>
    </row>
    <row r="26" spans="1:10" x14ac:dyDescent="0.25">
      <c r="A26" s="2">
        <v>45078</v>
      </c>
      <c r="B26" s="3">
        <v>16942.8</v>
      </c>
      <c r="C26" s="3">
        <f t="shared" si="7"/>
        <v>21604.933333333334</v>
      </c>
      <c r="D26" s="3">
        <f t="shared" si="4"/>
        <v>-4662.133333333335</v>
      </c>
      <c r="E26" s="3">
        <f t="shared" si="5"/>
        <v>22041.206172839506</v>
      </c>
      <c r="F26" s="3">
        <f t="shared" si="0"/>
        <v>-5098.4061728395063</v>
      </c>
      <c r="G26" s="3">
        <f t="shared" si="1"/>
        <v>21735487.217777792</v>
      </c>
      <c r="H26" s="3">
        <f t="shared" si="2"/>
        <v>4662.133333333335</v>
      </c>
      <c r="I26" s="3">
        <f t="shared" si="3"/>
        <v>-27.516900000786968</v>
      </c>
      <c r="J26" s="3">
        <f t="shared" si="6"/>
        <v>27.516900000786968</v>
      </c>
    </row>
    <row r="27" spans="1:10" x14ac:dyDescent="0.25">
      <c r="A27" s="2">
        <v>45108</v>
      </c>
      <c r="B27" s="3">
        <v>16161.3</v>
      </c>
      <c r="C27" s="3">
        <f t="shared" si="7"/>
        <v>18922.166666666668</v>
      </c>
      <c r="D27" s="3">
        <f t="shared" si="4"/>
        <v>-2760.8666666666686</v>
      </c>
      <c r="E27" s="3">
        <f t="shared" si="5"/>
        <v>19358.439506172839</v>
      </c>
      <c r="F27" s="3">
        <f t="shared" si="0"/>
        <v>-3197.1395061728399</v>
      </c>
      <c r="G27" s="3">
        <f t="shared" si="1"/>
        <v>7622384.7511111218</v>
      </c>
      <c r="H27" s="3">
        <f t="shared" si="2"/>
        <v>2760.8666666666686</v>
      </c>
      <c r="I27" s="3">
        <f t="shared" si="3"/>
        <v>-17.083196690035262</v>
      </c>
      <c r="J27" s="3">
        <f t="shared" si="6"/>
        <v>17.083196690035262</v>
      </c>
    </row>
    <row r="28" spans="1:10" x14ac:dyDescent="0.25">
      <c r="A28" s="2">
        <v>45139</v>
      </c>
      <c r="B28" s="3">
        <v>14743.7</v>
      </c>
      <c r="C28" s="3">
        <f t="shared" si="7"/>
        <v>16973.3</v>
      </c>
      <c r="D28" s="3">
        <f t="shared" si="4"/>
        <v>-2229.5999999999985</v>
      </c>
      <c r="E28" s="3">
        <f t="shared" si="5"/>
        <v>17409.572839506171</v>
      </c>
      <c r="F28" s="3">
        <f t="shared" si="0"/>
        <v>-2665.8728395061698</v>
      </c>
      <c r="G28" s="3">
        <f t="shared" si="1"/>
        <v>4971116.1599999936</v>
      </c>
      <c r="H28" s="3">
        <f t="shared" si="2"/>
        <v>2229.5999999999985</v>
      </c>
      <c r="I28" s="3">
        <f t="shared" si="3"/>
        <v>-15.122391258639272</v>
      </c>
      <c r="J28" s="3">
        <f t="shared" si="6"/>
        <v>15.122391258639272</v>
      </c>
    </row>
    <row r="29" spans="1:10" x14ac:dyDescent="0.25">
      <c r="A29" s="2">
        <v>45170</v>
      </c>
      <c r="B29" s="3">
        <v>16071.3</v>
      </c>
      <c r="C29" s="3">
        <f t="shared" si="7"/>
        <v>15949.266666666668</v>
      </c>
      <c r="D29" s="3">
        <f t="shared" si="4"/>
        <v>122.03333333333103</v>
      </c>
      <c r="E29" s="3">
        <f t="shared" si="5"/>
        <v>16385.539506172841</v>
      </c>
      <c r="F29" s="3">
        <f t="shared" si="0"/>
        <v>-314.23950617284208</v>
      </c>
      <c r="G29" s="3">
        <f t="shared" si="1"/>
        <v>14892.134444443882</v>
      </c>
      <c r="H29" s="3">
        <f t="shared" si="2"/>
        <v>122.03333333333103</v>
      </c>
      <c r="I29" s="3">
        <f t="shared" si="3"/>
        <v>0.75932459311524914</v>
      </c>
      <c r="J29" s="3">
        <f t="shared" si="6"/>
        <v>0.75932459311524914</v>
      </c>
    </row>
    <row r="30" spans="1:10" x14ac:dyDescent="0.25">
      <c r="A30" s="2">
        <v>45200</v>
      </c>
      <c r="B30" s="3">
        <v>22921</v>
      </c>
      <c r="C30" s="3">
        <f t="shared" si="7"/>
        <v>15658.766666666668</v>
      </c>
      <c r="D30" s="3">
        <f t="shared" si="4"/>
        <v>7262.2333333333318</v>
      </c>
      <c r="E30" s="3">
        <f t="shared" si="5"/>
        <v>16095.039506172841</v>
      </c>
      <c r="F30" s="3">
        <f t="shared" si="0"/>
        <v>6825.9604938271586</v>
      </c>
      <c r="G30" s="3">
        <f t="shared" si="1"/>
        <v>52740032.987777755</v>
      </c>
      <c r="H30" s="3">
        <f t="shared" si="2"/>
        <v>7262.2333333333318</v>
      </c>
      <c r="I30" s="3">
        <f t="shared" si="3"/>
        <v>31.683754344633009</v>
      </c>
      <c r="J30" s="3">
        <f t="shared" si="6"/>
        <v>31.683754344633009</v>
      </c>
    </row>
    <row r="31" spans="1:10" x14ac:dyDescent="0.25">
      <c r="A31" s="2">
        <v>45231</v>
      </c>
      <c r="B31" s="3">
        <v>25876.6</v>
      </c>
      <c r="C31" s="3">
        <f t="shared" si="7"/>
        <v>17912</v>
      </c>
      <c r="D31" s="3">
        <f t="shared" si="4"/>
        <v>7964.5999999999985</v>
      </c>
      <c r="E31" s="3">
        <f t="shared" si="5"/>
        <v>18348.272839506171</v>
      </c>
      <c r="F31" s="3">
        <f t="shared" si="0"/>
        <v>7528.3271604938273</v>
      </c>
      <c r="G31" s="3">
        <f t="shared" si="1"/>
        <v>63434853.159999974</v>
      </c>
      <c r="H31" s="3">
        <f t="shared" si="2"/>
        <v>7964.5999999999985</v>
      </c>
      <c r="I31" s="3">
        <f t="shared" si="3"/>
        <v>30.779159549554418</v>
      </c>
      <c r="J31" s="3">
        <f t="shared" si="6"/>
        <v>30.779159549554418</v>
      </c>
    </row>
    <row r="32" spans="1:10" x14ac:dyDescent="0.25">
      <c r="A32" s="2">
        <v>45261</v>
      </c>
      <c r="B32" s="3">
        <v>31652.9</v>
      </c>
      <c r="C32" s="3">
        <f t="shared" si="7"/>
        <v>21622.966666666667</v>
      </c>
      <c r="D32" s="3">
        <f t="shared" si="4"/>
        <v>10029.933333333334</v>
      </c>
      <c r="E32" s="3">
        <f t="shared" si="5"/>
        <v>22059.239506172838</v>
      </c>
      <c r="F32" s="3">
        <f t="shared" si="0"/>
        <v>9593.660493827163</v>
      </c>
      <c r="G32" s="3">
        <f t="shared" si="1"/>
        <v>100599562.67111114</v>
      </c>
      <c r="H32" s="3">
        <f t="shared" si="2"/>
        <v>10029.933333333334</v>
      </c>
      <c r="I32" s="3">
        <f t="shared" si="3"/>
        <v>31.687249298905733</v>
      </c>
      <c r="J32" s="3">
        <f t="shared" si="6"/>
        <v>31.687249298905733</v>
      </c>
    </row>
    <row r="33" spans="1:10" x14ac:dyDescent="0.25">
      <c r="A33" s="2">
        <v>45292</v>
      </c>
      <c r="B33" s="3">
        <v>30833</v>
      </c>
      <c r="C33" s="3">
        <f t="shared" si="7"/>
        <v>26816.833333333332</v>
      </c>
      <c r="D33" s="3">
        <f t="shared" si="4"/>
        <v>4016.1666666666679</v>
      </c>
      <c r="E33" s="3">
        <f t="shared" si="5"/>
        <v>27253.106172839503</v>
      </c>
      <c r="F33" s="3">
        <f t="shared" si="0"/>
        <v>3579.8938271604966</v>
      </c>
      <c r="G33" s="3">
        <f t="shared" si="1"/>
        <v>16129594.694444453</v>
      </c>
      <c r="H33" s="3">
        <f t="shared" si="2"/>
        <v>4016.1666666666679</v>
      </c>
      <c r="I33" s="3">
        <f t="shared" si="3"/>
        <v>13.025546222121323</v>
      </c>
      <c r="J33" s="3">
        <f t="shared" si="6"/>
        <v>13.025546222121323</v>
      </c>
    </row>
    <row r="34" spans="1:10" x14ac:dyDescent="0.25">
      <c r="A34" s="2">
        <v>45323</v>
      </c>
      <c r="B34" s="3">
        <v>24530.2</v>
      </c>
      <c r="C34" s="3">
        <f t="shared" si="7"/>
        <v>29454.166666666668</v>
      </c>
      <c r="D34" s="3">
        <f t="shared" si="4"/>
        <v>-4923.9666666666672</v>
      </c>
      <c r="E34" s="3">
        <f t="shared" si="5"/>
        <v>29890.439506172839</v>
      </c>
      <c r="F34" s="3">
        <f t="shared" si="0"/>
        <v>-5360.2395061728384</v>
      </c>
      <c r="G34" s="3">
        <f t="shared" si="1"/>
        <v>24245447.734444451</v>
      </c>
      <c r="H34" s="3">
        <f t="shared" si="2"/>
        <v>4923.9666666666672</v>
      </c>
      <c r="I34" s="3">
        <f t="shared" si="3"/>
        <v>-20.073079985759051</v>
      </c>
      <c r="J34" s="3">
        <f t="shared" si="6"/>
        <v>20.073079985759051</v>
      </c>
    </row>
    <row r="35" spans="1:10" x14ac:dyDescent="0.25">
      <c r="A35" s="2">
        <v>45352</v>
      </c>
      <c r="B35" s="3">
        <v>25006.6</v>
      </c>
      <c r="C35" s="3">
        <f t="shared" si="7"/>
        <v>29005.366666666669</v>
      </c>
      <c r="D35" s="3">
        <f t="shared" si="4"/>
        <v>-3998.7666666666701</v>
      </c>
      <c r="E35" s="3">
        <f t="shared" si="5"/>
        <v>29441.63950617284</v>
      </c>
      <c r="F35" s="3">
        <f t="shared" si="0"/>
        <v>-4435.0395061728414</v>
      </c>
      <c r="G35" s="3">
        <f t="shared" si="1"/>
        <v>15990134.854444472</v>
      </c>
      <c r="H35" s="3">
        <f t="shared" si="2"/>
        <v>3998.7666666666701</v>
      </c>
      <c r="I35" s="3">
        <f t="shared" si="3"/>
        <v>-15.99084508356462</v>
      </c>
      <c r="J35" s="3">
        <f t="shared" si="6"/>
        <v>15.99084508356462</v>
      </c>
    </row>
    <row r="36" spans="1:10" x14ac:dyDescent="0.25">
      <c r="A36" s="2">
        <v>45383</v>
      </c>
      <c r="B36" s="3">
        <v>21574.7</v>
      </c>
      <c r="C36" s="3">
        <f t="shared" si="7"/>
        <v>26789.933333333331</v>
      </c>
      <c r="D36" s="3">
        <f t="shared" si="4"/>
        <v>-5215.2333333333299</v>
      </c>
      <c r="E36" s="3">
        <f t="shared" si="5"/>
        <v>27226.206172839502</v>
      </c>
      <c r="F36" s="3">
        <f t="shared" si="0"/>
        <v>-5651.5061728395012</v>
      </c>
      <c r="G36" s="3">
        <f t="shared" si="1"/>
        <v>27198658.721111074</v>
      </c>
      <c r="H36" s="3">
        <f t="shared" si="2"/>
        <v>5215.2333333333299</v>
      </c>
      <c r="I36" s="3">
        <f t="shared" si="3"/>
        <v>-24.172912408206511</v>
      </c>
      <c r="J36" s="3">
        <f t="shared" si="6"/>
        <v>24.172912408206511</v>
      </c>
    </row>
    <row r="37" spans="1:10" x14ac:dyDescent="0.25">
      <c r="A37" s="2">
        <v>45413</v>
      </c>
      <c r="B37" s="3">
        <v>22012.6</v>
      </c>
      <c r="C37" s="3">
        <f t="shared" si="7"/>
        <v>23703.833333333332</v>
      </c>
      <c r="D37" s="3">
        <f t="shared" si="4"/>
        <v>-1691.2333333333336</v>
      </c>
      <c r="E37" s="3">
        <f t="shared" si="5"/>
        <v>24140.106172839503</v>
      </c>
      <c r="F37" s="3">
        <f t="shared" si="0"/>
        <v>-2127.5061728395049</v>
      </c>
      <c r="G37" s="3">
        <f t="shared" si="1"/>
        <v>2860270.1877777786</v>
      </c>
      <c r="H37" s="3">
        <f t="shared" si="2"/>
        <v>1691.2333333333336</v>
      </c>
      <c r="I37" s="3">
        <f t="shared" si="3"/>
        <v>-7.6830239650624357</v>
      </c>
      <c r="J37" s="3">
        <f t="shared" si="6"/>
        <v>7.6830239650624357</v>
      </c>
    </row>
    <row r="38" spans="1:10" x14ac:dyDescent="0.25">
      <c r="A38" s="2">
        <v>45444</v>
      </c>
      <c r="B38" s="3">
        <v>16396.900000000001</v>
      </c>
      <c r="C38" s="3">
        <f t="shared" si="7"/>
        <v>22864.633333333331</v>
      </c>
      <c r="D38" s="3">
        <f t="shared" si="4"/>
        <v>-6467.7333333333299</v>
      </c>
      <c r="E38" s="3">
        <f t="shared" si="5"/>
        <v>23300.906172839503</v>
      </c>
      <c r="F38" s="3">
        <f t="shared" ref="F38:F59" si="8">B38-E38</f>
        <v>-6904.0061728395012</v>
      </c>
      <c r="G38" s="3">
        <f t="shared" ref="G38:G59" si="9">D38^2</f>
        <v>41831574.471111067</v>
      </c>
      <c r="H38" s="3">
        <f t="shared" ref="H38:H59" si="10">ABS(D38)</f>
        <v>6467.7333333333299</v>
      </c>
      <c r="I38" s="3">
        <f t="shared" ref="I38:I59" si="11">(D38/B38)*100</f>
        <v>-39.444854413537492</v>
      </c>
      <c r="J38" s="3">
        <f t="shared" si="6"/>
        <v>39.444854413537492</v>
      </c>
    </row>
    <row r="39" spans="1:10" x14ac:dyDescent="0.25">
      <c r="A39" s="2">
        <v>45474</v>
      </c>
      <c r="B39" s="3">
        <v>19960.3</v>
      </c>
      <c r="C39" s="3">
        <f t="shared" si="7"/>
        <v>19994.733333333334</v>
      </c>
      <c r="D39" s="3">
        <f t="shared" si="4"/>
        <v>-34.433333333334303</v>
      </c>
      <c r="E39" s="3">
        <f t="shared" si="5"/>
        <v>20431.006172839505</v>
      </c>
      <c r="F39" s="3">
        <f t="shared" si="8"/>
        <v>-470.7061728395056</v>
      </c>
      <c r="G39" s="3">
        <f t="shared" si="9"/>
        <v>1185.6544444445112</v>
      </c>
      <c r="H39" s="3">
        <f t="shared" si="10"/>
        <v>34.433333333334303</v>
      </c>
      <c r="I39" s="3">
        <f t="shared" si="11"/>
        <v>-0.17250909722466248</v>
      </c>
      <c r="J39" s="3">
        <f t="shared" si="6"/>
        <v>0.17250909722466248</v>
      </c>
    </row>
    <row r="40" spans="1:10" x14ac:dyDescent="0.25">
      <c r="A40" s="2">
        <v>45505</v>
      </c>
      <c r="B40" s="3">
        <v>17443.900000000001</v>
      </c>
      <c r="C40" s="3">
        <f t="shared" si="7"/>
        <v>19456.600000000002</v>
      </c>
      <c r="D40" s="3">
        <f t="shared" si="4"/>
        <v>-2012.7000000000007</v>
      </c>
      <c r="E40" s="3">
        <f t="shared" si="5"/>
        <v>19892.872839506173</v>
      </c>
      <c r="F40" s="3">
        <f t="shared" si="8"/>
        <v>-2448.972839506172</v>
      </c>
      <c r="G40" s="3">
        <f t="shared" si="9"/>
        <v>4050961.2900000028</v>
      </c>
      <c r="H40" s="3">
        <f t="shared" si="10"/>
        <v>2012.7000000000007</v>
      </c>
      <c r="I40" s="3">
        <f t="shared" si="11"/>
        <v>-11.538130807904198</v>
      </c>
      <c r="J40" s="3">
        <f t="shared" si="6"/>
        <v>11.538130807904198</v>
      </c>
    </row>
    <row r="41" spans="1:10" x14ac:dyDescent="0.25">
      <c r="A41" s="2">
        <v>45536</v>
      </c>
      <c r="B41" s="3">
        <v>17207.3</v>
      </c>
      <c r="C41" s="3">
        <f t="shared" si="7"/>
        <v>17933.7</v>
      </c>
      <c r="D41" s="3">
        <f t="shared" si="4"/>
        <v>-726.40000000000146</v>
      </c>
      <c r="E41" s="3">
        <f t="shared" si="5"/>
        <v>18369.972839506172</v>
      </c>
      <c r="F41" s="3">
        <f t="shared" si="8"/>
        <v>-1162.6728395061727</v>
      </c>
      <c r="G41" s="3">
        <f t="shared" si="9"/>
        <v>527656.96000000206</v>
      </c>
      <c r="H41" s="3">
        <f t="shared" si="10"/>
        <v>726.40000000000146</v>
      </c>
      <c r="I41" s="3">
        <f t="shared" si="11"/>
        <v>-4.221464146031054</v>
      </c>
      <c r="J41" s="3">
        <f t="shared" si="6"/>
        <v>4.221464146031054</v>
      </c>
    </row>
    <row r="42" spans="1:10" x14ac:dyDescent="0.25">
      <c r="A42" s="2">
        <v>45566</v>
      </c>
      <c r="B42" s="3">
        <v>17219.7</v>
      </c>
      <c r="C42" s="3">
        <f t="shared" si="7"/>
        <v>18203.833333333332</v>
      </c>
      <c r="D42" s="3">
        <f t="shared" si="4"/>
        <v>-984.13333333333139</v>
      </c>
      <c r="E42" s="3">
        <f t="shared" si="5"/>
        <v>18640.106172839503</v>
      </c>
      <c r="F42" s="3">
        <f t="shared" si="8"/>
        <v>-1420.4061728395027</v>
      </c>
      <c r="G42" s="3">
        <f t="shared" si="9"/>
        <v>968518.41777777392</v>
      </c>
      <c r="H42" s="3">
        <f t="shared" si="10"/>
        <v>984.13333333333139</v>
      </c>
      <c r="I42" s="3">
        <f t="shared" si="11"/>
        <v>-5.7151595749829056</v>
      </c>
      <c r="J42" s="3">
        <f t="shared" si="6"/>
        <v>5.7151595749829056</v>
      </c>
    </row>
    <row r="43" spans="1:10" x14ac:dyDescent="0.25">
      <c r="A43" s="2">
        <v>45597</v>
      </c>
      <c r="B43" s="3">
        <v>23717.5</v>
      </c>
      <c r="C43" s="3">
        <f t="shared" si="7"/>
        <v>17290.3</v>
      </c>
      <c r="D43" s="3">
        <f t="shared" si="4"/>
        <v>6427.2000000000007</v>
      </c>
      <c r="E43" s="3">
        <f t="shared" si="5"/>
        <v>17726.572839506171</v>
      </c>
      <c r="F43" s="3">
        <f t="shared" si="8"/>
        <v>5990.9271604938294</v>
      </c>
      <c r="G43" s="3">
        <f t="shared" si="9"/>
        <v>41308899.840000011</v>
      </c>
      <c r="H43" s="3">
        <f t="shared" si="10"/>
        <v>6427.2000000000007</v>
      </c>
      <c r="I43" s="3">
        <f t="shared" si="11"/>
        <v>27.098977548223889</v>
      </c>
      <c r="J43" s="3">
        <f t="shared" si="6"/>
        <v>27.098977548223889</v>
      </c>
    </row>
    <row r="44" spans="1:10" x14ac:dyDescent="0.25">
      <c r="A44" s="2">
        <v>45627</v>
      </c>
      <c r="B44" s="3">
        <v>24021.8</v>
      </c>
      <c r="C44" s="3">
        <f t="shared" si="7"/>
        <v>19381.5</v>
      </c>
      <c r="D44" s="3">
        <f t="shared" si="4"/>
        <v>4640.2999999999993</v>
      </c>
      <c r="E44" s="3">
        <f t="shared" si="5"/>
        <v>19817.772839506171</v>
      </c>
      <c r="F44" s="3">
        <f t="shared" si="8"/>
        <v>4204.027160493828</v>
      </c>
      <c r="G44" s="3">
        <f t="shared" si="9"/>
        <v>21532384.089999992</v>
      </c>
      <c r="H44" s="3">
        <f t="shared" si="10"/>
        <v>4640.2999999999993</v>
      </c>
      <c r="I44" s="3">
        <f t="shared" si="11"/>
        <v>19.317037024702561</v>
      </c>
      <c r="J44" s="3">
        <f t="shared" si="6"/>
        <v>19.317037024702561</v>
      </c>
    </row>
    <row r="45" spans="1:10" x14ac:dyDescent="0.25">
      <c r="A45" s="2">
        <v>45658</v>
      </c>
      <c r="B45" s="3">
        <v>27948.799999999999</v>
      </c>
      <c r="C45" s="3">
        <f t="shared" si="7"/>
        <v>21653</v>
      </c>
      <c r="D45" s="3">
        <f t="shared" si="4"/>
        <v>6295.7999999999993</v>
      </c>
      <c r="E45" s="3">
        <f t="shared" si="5"/>
        <v>22089.272839506171</v>
      </c>
      <c r="F45" s="3">
        <f t="shared" si="8"/>
        <v>5859.527160493828</v>
      </c>
      <c r="G45" s="3">
        <f t="shared" si="9"/>
        <v>39637097.639999993</v>
      </c>
      <c r="H45" s="3">
        <f t="shared" si="10"/>
        <v>6295.7999999999993</v>
      </c>
      <c r="I45" s="3">
        <f t="shared" si="11"/>
        <v>22.526190748797799</v>
      </c>
      <c r="J45" s="3">
        <f t="shared" si="6"/>
        <v>22.526190748797799</v>
      </c>
    </row>
    <row r="46" spans="1:10" x14ac:dyDescent="0.25">
      <c r="A46" s="2">
        <v>45689</v>
      </c>
      <c r="B46" s="3">
        <v>23566.1</v>
      </c>
      <c r="C46" s="3">
        <f t="shared" si="7"/>
        <v>25229.366666666669</v>
      </c>
      <c r="D46" s="3">
        <f t="shared" si="4"/>
        <v>-1663.2666666666701</v>
      </c>
      <c r="E46" s="3">
        <f t="shared" si="5"/>
        <v>25665.63950617284</v>
      </c>
      <c r="F46" s="3">
        <f t="shared" si="8"/>
        <v>-2099.5395061728414</v>
      </c>
      <c r="G46" s="3">
        <f t="shared" si="9"/>
        <v>2766456.0044444557</v>
      </c>
      <c r="H46" s="3">
        <f t="shared" si="10"/>
        <v>1663.2666666666701</v>
      </c>
      <c r="I46" s="3">
        <f t="shared" si="11"/>
        <v>-7.0578783365371027</v>
      </c>
      <c r="J46" s="3">
        <f t="shared" si="6"/>
        <v>7.0578783365371027</v>
      </c>
    </row>
    <row r="47" spans="1:10" x14ac:dyDescent="0.25">
      <c r="A47" s="2">
        <v>45717</v>
      </c>
      <c r="B47" s="3">
        <v>21854.6</v>
      </c>
      <c r="C47" s="3">
        <f t="shared" si="7"/>
        <v>25178.899999999998</v>
      </c>
      <c r="D47" s="3">
        <f t="shared" si="4"/>
        <v>-3324.2999999999993</v>
      </c>
      <c r="E47" s="3">
        <f t="shared" si="5"/>
        <v>25615.172839506169</v>
      </c>
      <c r="F47" s="3">
        <f t="shared" si="8"/>
        <v>-3760.5728395061706</v>
      </c>
      <c r="G47" s="3">
        <f t="shared" si="9"/>
        <v>11050970.489999995</v>
      </c>
      <c r="H47" s="3">
        <f t="shared" si="10"/>
        <v>3324.2999999999993</v>
      </c>
      <c r="I47" s="3">
        <f t="shared" si="11"/>
        <v>-15.210985330319474</v>
      </c>
      <c r="J47" s="3">
        <f t="shared" si="6"/>
        <v>15.210985330319474</v>
      </c>
    </row>
    <row r="48" spans="1:10" x14ac:dyDescent="0.25">
      <c r="A48" s="2">
        <v>45748</v>
      </c>
      <c r="B48" s="3">
        <v>19727.8</v>
      </c>
      <c r="C48" s="3">
        <f t="shared" si="7"/>
        <v>24456.5</v>
      </c>
      <c r="D48" s="3">
        <f t="shared" si="4"/>
        <v>-4728.7000000000007</v>
      </c>
      <c r="E48" s="3">
        <f t="shared" si="5"/>
        <v>24892.772839506171</v>
      </c>
      <c r="F48" s="3">
        <f t="shared" si="8"/>
        <v>-5164.972839506172</v>
      </c>
      <c r="G48" s="3">
        <f t="shared" si="9"/>
        <v>22360603.690000005</v>
      </c>
      <c r="H48" s="3">
        <f t="shared" si="10"/>
        <v>4728.7000000000007</v>
      </c>
      <c r="I48" s="3">
        <f t="shared" si="11"/>
        <v>-23.969727998053514</v>
      </c>
      <c r="J48" s="3">
        <f t="shared" si="6"/>
        <v>23.969727998053514</v>
      </c>
    </row>
    <row r="49" spans="1:10" x14ac:dyDescent="0.25">
      <c r="A49" s="2">
        <v>45778</v>
      </c>
      <c r="B49" s="3">
        <v>19381.5</v>
      </c>
      <c r="C49" s="3">
        <f t="shared" si="7"/>
        <v>21716.166666666668</v>
      </c>
      <c r="D49" s="3">
        <f t="shared" si="4"/>
        <v>-2334.6666666666679</v>
      </c>
      <c r="E49" s="3">
        <f t="shared" si="5"/>
        <v>22152.439506172839</v>
      </c>
      <c r="F49" s="3">
        <f t="shared" si="8"/>
        <v>-2770.9395061728392</v>
      </c>
      <c r="G49" s="3">
        <f t="shared" si="9"/>
        <v>5450668.4444444505</v>
      </c>
      <c r="H49" s="3">
        <f t="shared" si="10"/>
        <v>2334.6666666666679</v>
      </c>
      <c r="I49" s="3">
        <f t="shared" si="11"/>
        <v>-12.045851284300326</v>
      </c>
      <c r="J49" s="3">
        <f t="shared" si="6"/>
        <v>12.045851284300326</v>
      </c>
    </row>
    <row r="50" spans="1:10" x14ac:dyDescent="0.25">
      <c r="A50" s="2">
        <v>45809</v>
      </c>
      <c r="B50" s="3">
        <v>17261.5</v>
      </c>
      <c r="C50" s="3">
        <f t="shared" si="7"/>
        <v>20321.3</v>
      </c>
      <c r="D50" s="3">
        <f t="shared" si="4"/>
        <v>-3059.7999999999993</v>
      </c>
      <c r="E50" s="3">
        <f t="shared" si="5"/>
        <v>20757.572839506171</v>
      </c>
      <c r="F50" s="3">
        <f t="shared" si="8"/>
        <v>-3496.0728395061706</v>
      </c>
      <c r="G50" s="3">
        <f t="shared" si="9"/>
        <v>9362376.0399999954</v>
      </c>
      <c r="H50" s="3">
        <f t="shared" si="10"/>
        <v>3059.7999999999993</v>
      </c>
      <c r="I50" s="3">
        <f t="shared" si="11"/>
        <v>-17.72615357877357</v>
      </c>
      <c r="J50" s="3">
        <f t="shared" si="6"/>
        <v>17.72615357877357</v>
      </c>
    </row>
    <row r="51" spans="1:10" x14ac:dyDescent="0.25">
      <c r="A51" s="2">
        <v>45839</v>
      </c>
      <c r="B51" s="3">
        <v>15143.8</v>
      </c>
      <c r="C51" s="3">
        <f t="shared" si="7"/>
        <v>18790.266666666666</v>
      </c>
      <c r="D51" s="3">
        <f t="shared" si="4"/>
        <v>-3646.4666666666672</v>
      </c>
      <c r="E51" s="3">
        <f t="shared" si="5"/>
        <v>19226.539506172838</v>
      </c>
      <c r="F51" s="3">
        <f t="shared" si="8"/>
        <v>-4082.7395061728384</v>
      </c>
      <c r="G51" s="3">
        <f t="shared" si="9"/>
        <v>13296719.151111115</v>
      </c>
      <c r="H51" s="3">
        <f t="shared" si="10"/>
        <v>3646.4666666666672</v>
      </c>
      <c r="I51" s="3">
        <f t="shared" si="11"/>
        <v>-24.078940996755552</v>
      </c>
      <c r="J51" s="3">
        <f t="shared" si="6"/>
        <v>24.078940996755552</v>
      </c>
    </row>
    <row r="52" spans="1:10" x14ac:dyDescent="0.25">
      <c r="A52" s="2">
        <v>45870</v>
      </c>
      <c r="B52" s="3">
        <v>14218.8</v>
      </c>
      <c r="C52" s="3">
        <f t="shared" si="7"/>
        <v>17262.266666666666</v>
      </c>
      <c r="D52" s="3">
        <f t="shared" si="4"/>
        <v>-3043.4666666666672</v>
      </c>
      <c r="E52" s="3">
        <f t="shared" si="5"/>
        <v>17698.539506172838</v>
      </c>
      <c r="F52" s="3">
        <f t="shared" si="8"/>
        <v>-3479.7395061728384</v>
      </c>
      <c r="G52" s="3">
        <f t="shared" si="9"/>
        <v>9262689.351111114</v>
      </c>
      <c r="H52" s="3">
        <f t="shared" si="10"/>
        <v>3043.4666666666672</v>
      </c>
      <c r="I52" s="3">
        <f t="shared" si="11"/>
        <v>-21.404525463939763</v>
      </c>
      <c r="J52" s="3">
        <f t="shared" si="6"/>
        <v>21.404525463939763</v>
      </c>
    </row>
    <row r="53" spans="1:10" x14ac:dyDescent="0.25">
      <c r="A53" s="2">
        <v>45901</v>
      </c>
      <c r="B53" s="3">
        <v>15859.6</v>
      </c>
      <c r="C53" s="3">
        <f t="shared" si="7"/>
        <v>15541.366666666667</v>
      </c>
      <c r="D53" s="3">
        <f t="shared" si="4"/>
        <v>318.23333333333358</v>
      </c>
      <c r="E53" s="3">
        <f t="shared" si="5"/>
        <v>15977.63950617284</v>
      </c>
      <c r="F53" s="3">
        <f t="shared" si="8"/>
        <v>-118.03950617283954</v>
      </c>
      <c r="G53" s="3">
        <f t="shared" si="9"/>
        <v>101272.45444444459</v>
      </c>
      <c r="H53" s="3">
        <f t="shared" si="10"/>
        <v>318.23333333333358</v>
      </c>
      <c r="I53" s="3">
        <f t="shared" si="11"/>
        <v>2.006565949540553</v>
      </c>
      <c r="J53" s="3">
        <f t="shared" si="6"/>
        <v>2.006565949540553</v>
      </c>
    </row>
    <row r="54" spans="1:10" x14ac:dyDescent="0.25">
      <c r="A54" s="2">
        <v>45931</v>
      </c>
      <c r="B54" s="3">
        <v>19940.5</v>
      </c>
      <c r="C54" s="3">
        <f t="shared" si="7"/>
        <v>15074.066666666666</v>
      </c>
      <c r="D54" s="3">
        <f t="shared" si="4"/>
        <v>4866.4333333333343</v>
      </c>
      <c r="E54" s="3">
        <f t="shared" si="5"/>
        <v>15510.339506172839</v>
      </c>
      <c r="F54" s="3">
        <f t="shared" si="8"/>
        <v>4430.1604938271612</v>
      </c>
      <c r="G54" s="3">
        <f t="shared" si="9"/>
        <v>23682173.387777787</v>
      </c>
      <c r="H54" s="3">
        <f t="shared" si="10"/>
        <v>4866.4333333333343</v>
      </c>
      <c r="I54" s="3">
        <f t="shared" si="11"/>
        <v>24.404770859975098</v>
      </c>
      <c r="J54" s="3">
        <f t="shared" si="6"/>
        <v>24.404770859975098</v>
      </c>
    </row>
    <row r="55" spans="1:10" x14ac:dyDescent="0.25">
      <c r="A55" s="2">
        <v>45962</v>
      </c>
      <c r="B55" s="3">
        <v>24404.5</v>
      </c>
      <c r="C55" s="3">
        <f t="shared" si="7"/>
        <v>16672.966666666667</v>
      </c>
      <c r="D55" s="3">
        <f t="shared" si="4"/>
        <v>7731.5333333333328</v>
      </c>
      <c r="E55" s="3">
        <f t="shared" si="5"/>
        <v>17109.239506172838</v>
      </c>
      <c r="F55" s="3">
        <f t="shared" si="8"/>
        <v>7295.2604938271616</v>
      </c>
      <c r="G55" s="3">
        <f t="shared" si="9"/>
        <v>59776607.684444435</v>
      </c>
      <c r="H55" s="3">
        <f t="shared" si="10"/>
        <v>7731.5333333333328</v>
      </c>
      <c r="I55" s="3">
        <f t="shared" si="11"/>
        <v>31.68076925703593</v>
      </c>
      <c r="J55" s="3">
        <f t="shared" si="6"/>
        <v>31.68076925703593</v>
      </c>
    </row>
    <row r="56" spans="1:10" x14ac:dyDescent="0.25">
      <c r="A56" s="2">
        <v>45992</v>
      </c>
      <c r="B56" s="3">
        <v>28205.8</v>
      </c>
      <c r="C56" s="3">
        <f t="shared" si="7"/>
        <v>20068.2</v>
      </c>
      <c r="D56" s="3">
        <f t="shared" si="4"/>
        <v>8137.5999999999985</v>
      </c>
      <c r="E56" s="3">
        <f t="shared" si="5"/>
        <v>20504.472839506172</v>
      </c>
      <c r="F56" s="3">
        <f t="shared" si="8"/>
        <v>7701.3271604938273</v>
      </c>
      <c r="G56" s="3">
        <f t="shared" si="9"/>
        <v>66220533.759999976</v>
      </c>
      <c r="H56" s="3">
        <f t="shared" si="10"/>
        <v>8137.5999999999985</v>
      </c>
      <c r="I56" s="3">
        <f t="shared" si="11"/>
        <v>28.850803735401936</v>
      </c>
      <c r="J56" s="3">
        <f t="shared" si="6"/>
        <v>28.850803735401936</v>
      </c>
    </row>
    <row r="57" spans="1:10" x14ac:dyDescent="0.25">
      <c r="A57" s="2">
        <v>46023</v>
      </c>
      <c r="B57" s="3">
        <v>29341.599999999999</v>
      </c>
      <c r="C57" s="3">
        <f t="shared" si="7"/>
        <v>24183.600000000002</v>
      </c>
      <c r="D57" s="3">
        <f t="shared" si="4"/>
        <v>5157.9999999999964</v>
      </c>
      <c r="E57" s="3">
        <f t="shared" si="5"/>
        <v>24619.872839506173</v>
      </c>
      <c r="F57" s="3">
        <f t="shared" si="8"/>
        <v>4721.7271604938251</v>
      </c>
      <c r="G57" s="3">
        <f t="shared" si="9"/>
        <v>26604963.999999963</v>
      </c>
      <c r="H57" s="3">
        <f t="shared" si="10"/>
        <v>5157.9999999999964</v>
      </c>
      <c r="I57" s="3">
        <f t="shared" si="11"/>
        <v>17.579136788723165</v>
      </c>
      <c r="J57" s="3">
        <f t="shared" si="6"/>
        <v>17.579136788723165</v>
      </c>
    </row>
    <row r="58" spans="1:10" x14ac:dyDescent="0.25">
      <c r="A58" s="2">
        <v>46054</v>
      </c>
      <c r="B58" s="3">
        <v>26036</v>
      </c>
      <c r="C58" s="3">
        <f t="shared" si="7"/>
        <v>27317.3</v>
      </c>
      <c r="D58" s="3">
        <f t="shared" si="4"/>
        <v>-1281.2999999999993</v>
      </c>
      <c r="E58" s="3">
        <f t="shared" si="5"/>
        <v>27753.572839506171</v>
      </c>
      <c r="F58" s="3">
        <f t="shared" si="8"/>
        <v>-1717.5728395061706</v>
      </c>
      <c r="G58" s="3">
        <f t="shared" si="9"/>
        <v>1641729.6899999981</v>
      </c>
      <c r="H58" s="3">
        <f t="shared" si="10"/>
        <v>1281.2999999999993</v>
      </c>
      <c r="I58" s="3">
        <f t="shared" si="11"/>
        <v>-4.9212628667998128</v>
      </c>
      <c r="J58" s="3">
        <f t="shared" si="6"/>
        <v>4.9212628667998128</v>
      </c>
    </row>
    <row r="59" spans="1:10" x14ac:dyDescent="0.25">
      <c r="A59" s="2">
        <v>46082</v>
      </c>
      <c r="B59" s="3">
        <v>25269.7</v>
      </c>
      <c r="C59" s="3">
        <f>SUM(B56,B57,B58)/3</f>
        <v>27861.133333333331</v>
      </c>
      <c r="D59" s="3">
        <f t="shared" si="4"/>
        <v>-2591.4333333333307</v>
      </c>
      <c r="E59" s="3">
        <f t="shared" si="5"/>
        <v>28297.406172839503</v>
      </c>
      <c r="F59" s="3">
        <f t="shared" si="8"/>
        <v>-3027.706172839502</v>
      </c>
      <c r="G59" s="3">
        <f t="shared" si="9"/>
        <v>6715526.7211110974</v>
      </c>
      <c r="H59" s="3">
        <f t="shared" si="10"/>
        <v>2591.4333333333307</v>
      </c>
      <c r="I59" s="3">
        <f t="shared" si="11"/>
        <v>-10.255101300503492</v>
      </c>
      <c r="J59" s="3">
        <f t="shared" si="6"/>
        <v>10.255101300503492</v>
      </c>
    </row>
    <row r="60" spans="1:10" x14ac:dyDescent="0.25">
      <c r="A60" s="32">
        <v>46113</v>
      </c>
      <c r="C60" s="21">
        <f>SUM(B57,B58,B59)/3</f>
        <v>26882.433333333334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D80B8-DACA-4561-80FC-2B464B7B09A8}">
  <dimension ref="A1:O60"/>
  <sheetViews>
    <sheetView topLeftCell="A34" workbookViewId="0">
      <selection activeCell="A60" sqref="A60"/>
    </sheetView>
  </sheetViews>
  <sheetFormatPr defaultRowHeight="14.3" x14ac:dyDescent="0.25"/>
  <cols>
    <col min="1" max="1" width="7.125" bestFit="1" customWidth="1"/>
    <col min="2" max="2" width="11.875" bestFit="1" customWidth="1"/>
    <col min="3" max="3" width="9.125" bestFit="1" customWidth="1"/>
    <col min="4" max="4" width="9.125" customWidth="1"/>
    <col min="5" max="5" width="17.25" bestFit="1" customWidth="1"/>
    <col min="6" max="6" width="17.125" bestFit="1" customWidth="1"/>
    <col min="7" max="7" width="14.25" bestFit="1" customWidth="1"/>
    <col min="8" max="8" width="17.125" bestFit="1" customWidth="1"/>
    <col min="9" max="9" width="7.25" bestFit="1" customWidth="1"/>
    <col min="10" max="10" width="15.625" bestFit="1" customWidth="1"/>
    <col min="14" max="14" width="24.625" bestFit="1" customWidth="1"/>
    <col min="15" max="15" width="11.625" bestFit="1" customWidth="1"/>
  </cols>
  <sheetData>
    <row r="1" spans="1:15" s="9" customFormat="1" x14ac:dyDescent="0.25">
      <c r="A1" s="22" t="s">
        <v>0</v>
      </c>
      <c r="B1" s="22" t="s">
        <v>1</v>
      </c>
      <c r="C1" s="22" t="s">
        <v>13</v>
      </c>
      <c r="D1" s="22" t="s">
        <v>3</v>
      </c>
      <c r="E1" s="22" t="s">
        <v>4</v>
      </c>
      <c r="F1" s="22" t="s">
        <v>5</v>
      </c>
      <c r="G1" s="22" t="s">
        <v>16</v>
      </c>
      <c r="H1" s="22" t="s">
        <v>20</v>
      </c>
      <c r="I1" s="22" t="s">
        <v>21</v>
      </c>
      <c r="J1" s="22" t="s">
        <v>22</v>
      </c>
    </row>
    <row r="2" spans="1:15" x14ac:dyDescent="0.25">
      <c r="A2" s="1"/>
      <c r="B2" s="1"/>
      <c r="C2" s="4"/>
      <c r="D2" s="4"/>
      <c r="E2" s="4"/>
      <c r="F2" s="4"/>
      <c r="G2" s="4"/>
      <c r="H2" s="4"/>
      <c r="I2" s="4"/>
      <c r="J2" s="4"/>
      <c r="N2" s="11"/>
      <c r="O2" s="23" t="s">
        <v>14</v>
      </c>
    </row>
    <row r="3" spans="1:15" x14ac:dyDescent="0.25">
      <c r="A3" s="2">
        <v>44378</v>
      </c>
      <c r="B3" s="3">
        <v>14104</v>
      </c>
      <c r="C3" s="3"/>
      <c r="D3" s="3"/>
      <c r="E3" s="3"/>
      <c r="F3" s="3"/>
      <c r="G3" s="3"/>
      <c r="H3" s="3"/>
      <c r="I3" s="3"/>
      <c r="J3" s="3"/>
      <c r="N3" s="11">
        <v>1</v>
      </c>
      <c r="O3" s="13">
        <f>N3/$N$6</f>
        <v>0.16666666666666666</v>
      </c>
    </row>
    <row r="4" spans="1:15" x14ac:dyDescent="0.25">
      <c r="A4" s="2">
        <v>44409</v>
      </c>
      <c r="B4" s="3">
        <v>12626.7</v>
      </c>
      <c r="C4" s="3"/>
      <c r="D4" s="3"/>
      <c r="E4" s="3"/>
      <c r="F4" s="3"/>
      <c r="G4" s="3"/>
      <c r="H4" s="3"/>
      <c r="I4" s="3"/>
      <c r="J4" s="3"/>
      <c r="N4" s="11">
        <v>2</v>
      </c>
      <c r="O4" s="13">
        <f t="shared" ref="O4:O5" si="0">N4/$N$6</f>
        <v>0.33333333333333331</v>
      </c>
    </row>
    <row r="5" spans="1:15" x14ac:dyDescent="0.25">
      <c r="A5" s="2">
        <v>44440</v>
      </c>
      <c r="B5" s="3">
        <v>15729.7</v>
      </c>
      <c r="C5" s="3"/>
      <c r="D5" s="3"/>
      <c r="E5" s="3"/>
      <c r="F5" s="3"/>
      <c r="G5" s="3"/>
      <c r="H5" s="3"/>
      <c r="I5" s="3"/>
      <c r="J5" s="3"/>
      <c r="N5" s="11">
        <v>3</v>
      </c>
      <c r="O5" s="13">
        <f t="shared" si="0"/>
        <v>0.5</v>
      </c>
    </row>
    <row r="6" spans="1:15" x14ac:dyDescent="0.25">
      <c r="A6" s="2">
        <v>44470</v>
      </c>
      <c r="B6" s="3">
        <v>12004</v>
      </c>
      <c r="C6" s="3">
        <f>((B5*$O$5)+(B4*$O$4)+(B3*$O$3))</f>
        <v>14424.416666666666</v>
      </c>
      <c r="D6" s="3">
        <f>B6-C6</f>
        <v>-2420.4166666666661</v>
      </c>
      <c r="E6" s="3">
        <f>C6+$O$8</f>
        <v>14772.273148148148</v>
      </c>
      <c r="F6" s="3">
        <f>B6-E6</f>
        <v>-2768.2731481481478</v>
      </c>
      <c r="G6" s="3">
        <f>D6^2</f>
        <v>5858416.8402777752</v>
      </c>
      <c r="H6" s="3">
        <f>ABS(D6)</f>
        <v>2420.4166666666661</v>
      </c>
      <c r="I6" s="3">
        <f>(D6/B6)*100</f>
        <v>-20.163417749639002</v>
      </c>
      <c r="J6" s="3">
        <f>ABS(I6)</f>
        <v>20.163417749639002</v>
      </c>
      <c r="N6" s="12">
        <f>SUM(N3:N5)</f>
        <v>6</v>
      </c>
      <c r="O6" s="13"/>
    </row>
    <row r="7" spans="1:15" x14ac:dyDescent="0.25">
      <c r="A7" s="2">
        <v>44501</v>
      </c>
      <c r="B7" s="3">
        <v>18036.2</v>
      </c>
      <c r="C7" s="3">
        <f t="shared" ref="C7:C60" si="1">((B6*$O$5)+(B5*$O$4)+(B4*$O$3))</f>
        <v>13349.683333333334</v>
      </c>
      <c r="D7" s="3">
        <f t="shared" ref="D7:D59" si="2">B7-C7</f>
        <v>4686.5166666666664</v>
      </c>
      <c r="E7" s="3">
        <f t="shared" ref="E7:E59" si="3">C7+$O$8</f>
        <v>13697.539814814816</v>
      </c>
      <c r="F7" s="3">
        <f t="shared" ref="F7:F59" si="4">B7-E7</f>
        <v>4338.6601851851847</v>
      </c>
      <c r="G7" s="3">
        <f t="shared" ref="G7:G59" si="5">D7^2</f>
        <v>21963438.466944441</v>
      </c>
      <c r="H7" s="3">
        <f t="shared" ref="H7:H59" si="6">ABS(D7)</f>
        <v>4686.5166666666664</v>
      </c>
      <c r="I7" s="3">
        <f t="shared" ref="I7:I59" si="7">(D7/B7)*100</f>
        <v>25.983947098982412</v>
      </c>
      <c r="J7" s="3">
        <f t="shared" ref="J7:J59" si="8">ABS(I7)</f>
        <v>25.983947098982412</v>
      </c>
      <c r="O7" s="14"/>
    </row>
    <row r="8" spans="1:15" x14ac:dyDescent="0.25">
      <c r="A8" s="2">
        <v>44531</v>
      </c>
      <c r="B8" s="3">
        <v>16470.3</v>
      </c>
      <c r="C8" s="3">
        <f t="shared" si="1"/>
        <v>15641.050000000001</v>
      </c>
      <c r="D8" s="3">
        <f t="shared" si="2"/>
        <v>829.24999999999818</v>
      </c>
      <c r="E8" s="3">
        <f t="shared" si="3"/>
        <v>15988.906481481483</v>
      </c>
      <c r="F8" s="3">
        <f t="shared" si="4"/>
        <v>481.39351851851643</v>
      </c>
      <c r="G8" s="3">
        <f t="shared" si="5"/>
        <v>687655.56249999697</v>
      </c>
      <c r="H8" s="3">
        <f t="shared" si="6"/>
        <v>829.24999999999818</v>
      </c>
      <c r="I8" s="3">
        <f t="shared" si="7"/>
        <v>5.0348202522115457</v>
      </c>
      <c r="J8" s="3">
        <f t="shared" si="8"/>
        <v>5.0348202522115457</v>
      </c>
      <c r="N8" s="23" t="s">
        <v>15</v>
      </c>
      <c r="O8" s="13">
        <f>AVERAGE(D6:D59)</f>
        <v>347.85648148148198</v>
      </c>
    </row>
    <row r="9" spans="1:15" x14ac:dyDescent="0.25">
      <c r="A9" s="2">
        <v>44562</v>
      </c>
      <c r="B9" s="3">
        <v>27767.1</v>
      </c>
      <c r="C9" s="3">
        <f t="shared" si="1"/>
        <v>16247.883333333333</v>
      </c>
      <c r="D9" s="3">
        <f t="shared" si="2"/>
        <v>11519.216666666665</v>
      </c>
      <c r="E9" s="3">
        <f t="shared" si="3"/>
        <v>16595.739814814817</v>
      </c>
      <c r="F9" s="3">
        <f t="shared" si="4"/>
        <v>11171.360185185182</v>
      </c>
      <c r="G9" s="3">
        <f t="shared" si="5"/>
        <v>132692352.61361109</v>
      </c>
      <c r="H9" s="3">
        <f t="shared" si="6"/>
        <v>11519.216666666665</v>
      </c>
      <c r="I9" s="3">
        <f t="shared" si="7"/>
        <v>41.485126882773734</v>
      </c>
      <c r="J9" s="3">
        <f t="shared" si="8"/>
        <v>41.485126882773734</v>
      </c>
      <c r="N9" s="23" t="s">
        <v>12</v>
      </c>
      <c r="O9" s="13">
        <f>AVERAGE(F6:F59)</f>
        <v>1.3473995581821158E-13</v>
      </c>
    </row>
    <row r="10" spans="1:15" x14ac:dyDescent="0.25">
      <c r="A10" s="2">
        <v>44593</v>
      </c>
      <c r="B10" s="3">
        <v>19821.5</v>
      </c>
      <c r="C10" s="3">
        <f t="shared" si="1"/>
        <v>22379.683333333331</v>
      </c>
      <c r="D10" s="3">
        <f t="shared" si="2"/>
        <v>-2558.1833333333307</v>
      </c>
      <c r="E10" s="3">
        <f t="shared" si="3"/>
        <v>22727.539814814812</v>
      </c>
      <c r="F10" s="3">
        <f t="shared" si="4"/>
        <v>-2906.0398148148124</v>
      </c>
      <c r="G10" s="3">
        <f t="shared" si="5"/>
        <v>6544301.966944431</v>
      </c>
      <c r="H10" s="3">
        <f t="shared" si="6"/>
        <v>2558.1833333333307</v>
      </c>
      <c r="I10" s="3">
        <f t="shared" si="7"/>
        <v>-12.906103641668546</v>
      </c>
      <c r="J10" s="3">
        <f t="shared" si="8"/>
        <v>12.906103641668546</v>
      </c>
      <c r="N10" s="23" t="s">
        <v>17</v>
      </c>
      <c r="O10" s="13">
        <f>AVERAGE(G6:G59)</f>
        <v>18693093.023472223</v>
      </c>
    </row>
    <row r="11" spans="1:15" x14ac:dyDescent="0.25">
      <c r="A11" s="2">
        <v>44621</v>
      </c>
      <c r="B11" s="3">
        <v>18838.3</v>
      </c>
      <c r="C11" s="3">
        <f t="shared" si="1"/>
        <v>21911.499999999996</v>
      </c>
      <c r="D11" s="3">
        <f t="shared" si="2"/>
        <v>-3073.1999999999971</v>
      </c>
      <c r="E11" s="3">
        <f t="shared" si="3"/>
        <v>22259.356481481478</v>
      </c>
      <c r="F11" s="3">
        <f t="shared" si="4"/>
        <v>-3421.0564814814788</v>
      </c>
      <c r="G11" s="3">
        <f t="shared" si="5"/>
        <v>9444558.2399999816</v>
      </c>
      <c r="H11" s="3">
        <f t="shared" si="6"/>
        <v>3073.1999999999971</v>
      </c>
      <c r="I11" s="3">
        <f t="shared" si="7"/>
        <v>-16.313573942447022</v>
      </c>
      <c r="J11" s="3">
        <f t="shared" si="8"/>
        <v>16.313573942447022</v>
      </c>
      <c r="N11" s="23" t="s">
        <v>18</v>
      </c>
      <c r="O11" s="13">
        <f>SQRT(O10)</f>
        <v>4323.5509738491837</v>
      </c>
    </row>
    <row r="12" spans="1:15" x14ac:dyDescent="0.25">
      <c r="A12" s="2">
        <v>44652</v>
      </c>
      <c r="B12" s="3">
        <v>14427.8</v>
      </c>
      <c r="C12" s="3">
        <f t="shared" si="1"/>
        <v>20654.166666666664</v>
      </c>
      <c r="D12" s="3">
        <f t="shared" si="2"/>
        <v>-6226.366666666665</v>
      </c>
      <c r="E12" s="3">
        <f t="shared" si="3"/>
        <v>21002.023148148146</v>
      </c>
      <c r="F12" s="3">
        <f t="shared" si="4"/>
        <v>-6574.2231481481467</v>
      </c>
      <c r="G12" s="3">
        <f t="shared" si="5"/>
        <v>38767641.867777757</v>
      </c>
      <c r="H12" s="3">
        <f t="shared" si="6"/>
        <v>6226.366666666665</v>
      </c>
      <c r="I12" s="3">
        <f t="shared" si="7"/>
        <v>-43.155343619031768</v>
      </c>
      <c r="J12" s="3">
        <f t="shared" si="8"/>
        <v>43.155343619031768</v>
      </c>
      <c r="N12" s="23" t="s">
        <v>19</v>
      </c>
      <c r="O12" s="13">
        <f>AVERAGE(H6:H59)</f>
        <v>3585.7787037037028</v>
      </c>
    </row>
    <row r="13" spans="1:15" x14ac:dyDescent="0.25">
      <c r="A13" s="2">
        <v>44682</v>
      </c>
      <c r="B13" s="3">
        <v>15910.5</v>
      </c>
      <c r="C13" s="3">
        <f t="shared" si="1"/>
        <v>16796.916666666664</v>
      </c>
      <c r="D13" s="3">
        <f t="shared" si="2"/>
        <v>-886.41666666666424</v>
      </c>
      <c r="E13" s="3">
        <f t="shared" si="3"/>
        <v>17144.773148148146</v>
      </c>
      <c r="F13" s="3">
        <f t="shared" si="4"/>
        <v>-1234.273148148146</v>
      </c>
      <c r="G13" s="3">
        <f t="shared" si="5"/>
        <v>785734.50694444019</v>
      </c>
      <c r="H13" s="3">
        <f t="shared" si="6"/>
        <v>886.41666666666424</v>
      </c>
      <c r="I13" s="3">
        <f t="shared" si="7"/>
        <v>-5.5712684495563574</v>
      </c>
      <c r="J13" s="3">
        <f t="shared" si="8"/>
        <v>5.5712684495563574</v>
      </c>
      <c r="N13" s="23" t="s">
        <v>24</v>
      </c>
      <c r="O13" s="13">
        <f>AVERAGE(J6:J59)</f>
        <v>16.807871836273943</v>
      </c>
    </row>
    <row r="14" spans="1:15" x14ac:dyDescent="0.25">
      <c r="A14" s="2">
        <v>44713</v>
      </c>
      <c r="B14" s="3">
        <v>14883.4</v>
      </c>
      <c r="C14" s="3">
        <f t="shared" si="1"/>
        <v>15904.233333333334</v>
      </c>
      <c r="D14" s="3">
        <f t="shared" si="2"/>
        <v>-1020.8333333333339</v>
      </c>
      <c r="E14" s="3">
        <f t="shared" si="3"/>
        <v>16252.089814814815</v>
      </c>
      <c r="F14" s="3">
        <f t="shared" si="4"/>
        <v>-1368.6898148148157</v>
      </c>
      <c r="G14" s="3">
        <f t="shared" si="5"/>
        <v>1042100.6944444457</v>
      </c>
      <c r="H14" s="3">
        <f t="shared" si="6"/>
        <v>1020.8333333333339</v>
      </c>
      <c r="I14" s="3">
        <f t="shared" si="7"/>
        <v>-6.8588718527576624</v>
      </c>
      <c r="J14" s="3">
        <f t="shared" si="8"/>
        <v>6.8588718527576624</v>
      </c>
      <c r="N14" s="23" t="s">
        <v>25</v>
      </c>
      <c r="O14" s="13">
        <f>AVERAGE(I6:I59)</f>
        <v>-0.86050935149448193</v>
      </c>
    </row>
    <row r="15" spans="1:15" x14ac:dyDescent="0.25">
      <c r="A15" s="2">
        <v>44743</v>
      </c>
      <c r="B15" s="3">
        <v>17078.2</v>
      </c>
      <c r="C15" s="3">
        <f t="shared" si="1"/>
        <v>15149.833333333334</v>
      </c>
      <c r="D15" s="3">
        <f t="shared" si="2"/>
        <v>1928.3666666666668</v>
      </c>
      <c r="E15" s="3">
        <f t="shared" si="3"/>
        <v>15497.689814814816</v>
      </c>
      <c r="F15" s="3">
        <f t="shared" si="4"/>
        <v>1580.510185185185</v>
      </c>
      <c r="G15" s="3">
        <f t="shared" si="5"/>
        <v>3718598.0011111116</v>
      </c>
      <c r="H15" s="3">
        <f t="shared" si="6"/>
        <v>1928.3666666666668</v>
      </c>
      <c r="I15" s="3">
        <f t="shared" si="7"/>
        <v>11.291392925874312</v>
      </c>
      <c r="J15" s="3">
        <f t="shared" si="8"/>
        <v>11.291392925874312</v>
      </c>
    </row>
    <row r="16" spans="1:15" x14ac:dyDescent="0.25">
      <c r="A16" s="2">
        <v>44774</v>
      </c>
      <c r="B16" s="3">
        <v>14083.9</v>
      </c>
      <c r="C16" s="3">
        <f t="shared" si="1"/>
        <v>16151.983333333334</v>
      </c>
      <c r="D16" s="3">
        <f t="shared" si="2"/>
        <v>-2068.0833333333339</v>
      </c>
      <c r="E16" s="3">
        <f t="shared" si="3"/>
        <v>16499.839814814815</v>
      </c>
      <c r="F16" s="3">
        <f t="shared" si="4"/>
        <v>-2415.9398148148157</v>
      </c>
      <c r="G16" s="3">
        <f t="shared" si="5"/>
        <v>4276968.6736111138</v>
      </c>
      <c r="H16" s="3">
        <f t="shared" si="6"/>
        <v>2068.0833333333339</v>
      </c>
      <c r="I16" s="3">
        <f t="shared" si="7"/>
        <v>-14.684024548124697</v>
      </c>
      <c r="J16" s="3">
        <f t="shared" si="8"/>
        <v>14.684024548124697</v>
      </c>
    </row>
    <row r="17" spans="1:10" x14ac:dyDescent="0.25">
      <c r="A17" s="2">
        <v>44805</v>
      </c>
      <c r="B17" s="3">
        <v>14231.4</v>
      </c>
      <c r="C17" s="3">
        <f t="shared" si="1"/>
        <v>15215.25</v>
      </c>
      <c r="D17" s="3">
        <f t="shared" si="2"/>
        <v>-983.85000000000036</v>
      </c>
      <c r="E17" s="3">
        <f t="shared" si="3"/>
        <v>15563.106481481482</v>
      </c>
      <c r="F17" s="3">
        <f t="shared" si="4"/>
        <v>-1331.7064814814821</v>
      </c>
      <c r="G17" s="3">
        <f t="shared" si="5"/>
        <v>967960.82250000071</v>
      </c>
      <c r="H17" s="3">
        <f t="shared" si="6"/>
        <v>983.85000000000036</v>
      </c>
      <c r="I17" s="3">
        <f t="shared" si="7"/>
        <v>-6.913234116109451</v>
      </c>
      <c r="J17" s="3">
        <f t="shared" si="8"/>
        <v>6.913234116109451</v>
      </c>
    </row>
    <row r="18" spans="1:10" x14ac:dyDescent="0.25">
      <c r="A18" s="2">
        <v>44835</v>
      </c>
      <c r="B18" s="3">
        <v>16735</v>
      </c>
      <c r="C18" s="3">
        <f t="shared" si="1"/>
        <v>14656.699999999999</v>
      </c>
      <c r="D18" s="3">
        <f t="shared" si="2"/>
        <v>2078.3000000000011</v>
      </c>
      <c r="E18" s="3">
        <f t="shared" si="3"/>
        <v>15004.556481481481</v>
      </c>
      <c r="F18" s="3">
        <f t="shared" si="4"/>
        <v>1730.4435185185193</v>
      </c>
      <c r="G18" s="3">
        <f t="shared" si="5"/>
        <v>4319330.8900000043</v>
      </c>
      <c r="H18" s="3">
        <f t="shared" si="6"/>
        <v>2078.3000000000011</v>
      </c>
      <c r="I18" s="3">
        <f t="shared" si="7"/>
        <v>12.4188825814162</v>
      </c>
      <c r="J18" s="3">
        <f t="shared" si="8"/>
        <v>12.4188825814162</v>
      </c>
    </row>
    <row r="19" spans="1:10" x14ac:dyDescent="0.25">
      <c r="A19" s="2">
        <v>44866</v>
      </c>
      <c r="B19" s="3">
        <v>21493.9</v>
      </c>
      <c r="C19" s="3">
        <f t="shared" si="1"/>
        <v>15458.616666666665</v>
      </c>
      <c r="D19" s="3">
        <f t="shared" si="2"/>
        <v>6035.2833333333365</v>
      </c>
      <c r="E19" s="3">
        <f t="shared" si="3"/>
        <v>15806.473148148147</v>
      </c>
      <c r="F19" s="3">
        <f t="shared" si="4"/>
        <v>5687.4268518518547</v>
      </c>
      <c r="G19" s="3">
        <f t="shared" si="5"/>
        <v>36424644.913611151</v>
      </c>
      <c r="H19" s="3">
        <f t="shared" si="6"/>
        <v>6035.2833333333365</v>
      </c>
      <c r="I19" s="3">
        <f t="shared" si="7"/>
        <v>28.079051886038997</v>
      </c>
      <c r="J19" s="3">
        <f t="shared" si="8"/>
        <v>28.079051886038997</v>
      </c>
    </row>
    <row r="20" spans="1:10" x14ac:dyDescent="0.25">
      <c r="A20" s="2">
        <v>44896</v>
      </c>
      <c r="B20" s="3">
        <v>26466.3</v>
      </c>
      <c r="C20" s="3">
        <f t="shared" si="1"/>
        <v>18697.183333333334</v>
      </c>
      <c r="D20" s="3">
        <f t="shared" si="2"/>
        <v>7769.116666666665</v>
      </c>
      <c r="E20" s="3">
        <f t="shared" si="3"/>
        <v>19045.039814814816</v>
      </c>
      <c r="F20" s="3">
        <f t="shared" si="4"/>
        <v>7421.2601851851832</v>
      </c>
      <c r="G20" s="3">
        <f t="shared" si="5"/>
        <v>60359173.780277751</v>
      </c>
      <c r="H20" s="3">
        <f t="shared" si="6"/>
        <v>7769.116666666665</v>
      </c>
      <c r="I20" s="3">
        <f t="shared" si="7"/>
        <v>29.354751766082398</v>
      </c>
      <c r="J20" s="3">
        <f t="shared" si="8"/>
        <v>29.354751766082398</v>
      </c>
    </row>
    <row r="21" spans="1:10" x14ac:dyDescent="0.25">
      <c r="A21" s="2">
        <v>44927</v>
      </c>
      <c r="B21" s="3">
        <v>30370.2</v>
      </c>
      <c r="C21" s="3">
        <f t="shared" si="1"/>
        <v>23186.95</v>
      </c>
      <c r="D21" s="3">
        <f t="shared" si="2"/>
        <v>7183.25</v>
      </c>
      <c r="E21" s="3">
        <f t="shared" si="3"/>
        <v>23534.806481481482</v>
      </c>
      <c r="F21" s="3">
        <f t="shared" si="4"/>
        <v>6835.3935185185182</v>
      </c>
      <c r="G21" s="3">
        <f t="shared" si="5"/>
        <v>51599080.5625</v>
      </c>
      <c r="H21" s="3">
        <f t="shared" si="6"/>
        <v>7183.25</v>
      </c>
      <c r="I21" s="3">
        <f t="shared" si="7"/>
        <v>23.652297317765441</v>
      </c>
      <c r="J21" s="3">
        <f t="shared" si="8"/>
        <v>23.652297317765441</v>
      </c>
    </row>
    <row r="22" spans="1:10" x14ac:dyDescent="0.25">
      <c r="A22" s="2">
        <v>44958</v>
      </c>
      <c r="B22" s="3">
        <v>26062.5</v>
      </c>
      <c r="C22" s="3">
        <f t="shared" si="1"/>
        <v>27589.516666666663</v>
      </c>
      <c r="D22" s="3">
        <f t="shared" si="2"/>
        <v>-1527.0166666666628</v>
      </c>
      <c r="E22" s="3">
        <f t="shared" si="3"/>
        <v>27937.373148148145</v>
      </c>
      <c r="F22" s="3">
        <f t="shared" si="4"/>
        <v>-1874.8731481481445</v>
      </c>
      <c r="G22" s="3">
        <f t="shared" si="5"/>
        <v>2331779.9002777659</v>
      </c>
      <c r="H22" s="3">
        <f t="shared" si="6"/>
        <v>1527.0166666666628</v>
      </c>
      <c r="I22" s="3">
        <f t="shared" si="7"/>
        <v>-5.8590567545963079</v>
      </c>
      <c r="J22" s="3">
        <f t="shared" si="8"/>
        <v>5.8590567545963079</v>
      </c>
    </row>
    <row r="23" spans="1:10" x14ac:dyDescent="0.25">
      <c r="A23" s="2">
        <v>44986</v>
      </c>
      <c r="B23" s="3">
        <v>24991.1</v>
      </c>
      <c r="C23" s="3">
        <f t="shared" si="1"/>
        <v>27565.7</v>
      </c>
      <c r="D23" s="3">
        <f t="shared" si="2"/>
        <v>-2574.6000000000022</v>
      </c>
      <c r="E23" s="3">
        <f t="shared" si="3"/>
        <v>27913.556481481482</v>
      </c>
      <c r="F23" s="3">
        <f t="shared" si="4"/>
        <v>-2922.4564814814839</v>
      </c>
      <c r="G23" s="3">
        <f t="shared" si="5"/>
        <v>6628565.1600000113</v>
      </c>
      <c r="H23" s="3">
        <f t="shared" si="6"/>
        <v>2574.6000000000022</v>
      </c>
      <c r="I23" s="3">
        <f t="shared" si="7"/>
        <v>-10.30206753604284</v>
      </c>
      <c r="J23" s="3">
        <f t="shared" si="8"/>
        <v>10.30206753604284</v>
      </c>
    </row>
    <row r="24" spans="1:10" x14ac:dyDescent="0.25">
      <c r="A24" s="2">
        <v>45017</v>
      </c>
      <c r="B24" s="3">
        <v>22007.9</v>
      </c>
      <c r="C24" s="3">
        <f t="shared" si="1"/>
        <v>26244.75</v>
      </c>
      <c r="D24" s="3">
        <f t="shared" si="2"/>
        <v>-4236.8499999999985</v>
      </c>
      <c r="E24" s="3">
        <f t="shared" si="3"/>
        <v>26592.606481481482</v>
      </c>
      <c r="F24" s="3">
        <f t="shared" si="4"/>
        <v>-4584.7064814814803</v>
      </c>
      <c r="G24" s="3">
        <f t="shared" si="5"/>
        <v>17950897.922499988</v>
      </c>
      <c r="H24" s="3">
        <f t="shared" si="6"/>
        <v>4236.8499999999985</v>
      </c>
      <c r="I24" s="3">
        <f t="shared" si="7"/>
        <v>-19.251496053689802</v>
      </c>
      <c r="J24" s="3">
        <f t="shared" si="8"/>
        <v>19.251496053689802</v>
      </c>
    </row>
    <row r="25" spans="1:10" x14ac:dyDescent="0.25">
      <c r="A25" s="2">
        <v>45047</v>
      </c>
      <c r="B25" s="3">
        <v>17815.8</v>
      </c>
      <c r="C25" s="3">
        <f t="shared" si="1"/>
        <v>23678.066666666666</v>
      </c>
      <c r="D25" s="3">
        <f t="shared" si="2"/>
        <v>-5862.2666666666664</v>
      </c>
      <c r="E25" s="3">
        <f t="shared" si="3"/>
        <v>24025.923148148147</v>
      </c>
      <c r="F25" s="3">
        <f t="shared" si="4"/>
        <v>-6210.1231481481482</v>
      </c>
      <c r="G25" s="3">
        <f t="shared" si="5"/>
        <v>34366170.471111111</v>
      </c>
      <c r="H25" s="3">
        <f t="shared" si="6"/>
        <v>5862.2666666666664</v>
      </c>
      <c r="I25" s="3">
        <f t="shared" si="7"/>
        <v>-32.904874699237006</v>
      </c>
      <c r="J25" s="3">
        <f t="shared" si="8"/>
        <v>32.904874699237006</v>
      </c>
    </row>
    <row r="26" spans="1:10" x14ac:dyDescent="0.25">
      <c r="A26" s="2">
        <v>45078</v>
      </c>
      <c r="B26" s="3">
        <v>16942.8</v>
      </c>
      <c r="C26" s="3">
        <f t="shared" si="1"/>
        <v>20409.05</v>
      </c>
      <c r="D26" s="3">
        <f t="shared" si="2"/>
        <v>-3466.25</v>
      </c>
      <c r="E26" s="3">
        <f t="shared" si="3"/>
        <v>20756.906481481481</v>
      </c>
      <c r="F26" s="3">
        <f t="shared" si="4"/>
        <v>-3814.1064814814818</v>
      </c>
      <c r="G26" s="3">
        <f t="shared" si="5"/>
        <v>12014889.0625</v>
      </c>
      <c r="H26" s="3">
        <f t="shared" si="6"/>
        <v>3466.25</v>
      </c>
      <c r="I26" s="3">
        <f t="shared" si="7"/>
        <v>-20.458542861864629</v>
      </c>
      <c r="J26" s="3">
        <f t="shared" si="8"/>
        <v>20.458542861864629</v>
      </c>
    </row>
    <row r="27" spans="1:10" x14ac:dyDescent="0.25">
      <c r="A27" s="2">
        <v>45108</v>
      </c>
      <c r="B27" s="3">
        <v>16161.3</v>
      </c>
      <c r="C27" s="3">
        <f t="shared" si="1"/>
        <v>18077.983333333334</v>
      </c>
      <c r="D27" s="3">
        <f t="shared" si="2"/>
        <v>-1916.6833333333343</v>
      </c>
      <c r="E27" s="3">
        <f t="shared" si="3"/>
        <v>18425.839814814815</v>
      </c>
      <c r="F27" s="3">
        <f t="shared" si="4"/>
        <v>-2264.5398148148161</v>
      </c>
      <c r="G27" s="3">
        <f t="shared" si="5"/>
        <v>3673675.0002777814</v>
      </c>
      <c r="H27" s="3">
        <f t="shared" si="6"/>
        <v>1916.6833333333343</v>
      </c>
      <c r="I27" s="3">
        <f t="shared" si="7"/>
        <v>-11.859710130579435</v>
      </c>
      <c r="J27" s="3">
        <f t="shared" si="8"/>
        <v>11.859710130579435</v>
      </c>
    </row>
    <row r="28" spans="1:10" x14ac:dyDescent="0.25">
      <c r="A28" s="2">
        <v>45139</v>
      </c>
      <c r="B28" s="3">
        <v>14743.7</v>
      </c>
      <c r="C28" s="3">
        <f t="shared" si="1"/>
        <v>16697.55</v>
      </c>
      <c r="D28" s="3">
        <f t="shared" si="2"/>
        <v>-1953.8499999999985</v>
      </c>
      <c r="E28" s="3">
        <f t="shared" si="3"/>
        <v>17045.406481481481</v>
      </c>
      <c r="F28" s="3">
        <f t="shared" si="4"/>
        <v>-2301.7064814814803</v>
      </c>
      <c r="G28" s="3">
        <f t="shared" si="5"/>
        <v>3817529.8224999942</v>
      </c>
      <c r="H28" s="3">
        <f t="shared" si="6"/>
        <v>1953.8499999999985</v>
      </c>
      <c r="I28" s="3">
        <f t="shared" si="7"/>
        <v>-13.252100897332408</v>
      </c>
      <c r="J28" s="3">
        <f t="shared" si="8"/>
        <v>13.252100897332408</v>
      </c>
    </row>
    <row r="29" spans="1:10" x14ac:dyDescent="0.25">
      <c r="A29" s="2">
        <v>45170</v>
      </c>
      <c r="B29" s="3">
        <v>16071.3</v>
      </c>
      <c r="C29" s="3">
        <f t="shared" si="1"/>
        <v>15582.75</v>
      </c>
      <c r="D29" s="3">
        <f t="shared" si="2"/>
        <v>488.54999999999927</v>
      </c>
      <c r="E29" s="3">
        <f t="shared" si="3"/>
        <v>15930.606481481482</v>
      </c>
      <c r="F29" s="3">
        <f t="shared" si="4"/>
        <v>140.69351851851752</v>
      </c>
      <c r="G29" s="3">
        <f t="shared" si="5"/>
        <v>238681.10249999928</v>
      </c>
      <c r="H29" s="3">
        <f t="shared" si="6"/>
        <v>488.54999999999927</v>
      </c>
      <c r="I29" s="3">
        <f t="shared" si="7"/>
        <v>3.0398909857945489</v>
      </c>
      <c r="J29" s="3">
        <f t="shared" si="8"/>
        <v>3.0398909857945489</v>
      </c>
    </row>
    <row r="30" spans="1:10" x14ac:dyDescent="0.25">
      <c r="A30" s="2">
        <v>45200</v>
      </c>
      <c r="B30" s="3">
        <v>22921</v>
      </c>
      <c r="C30" s="3">
        <f t="shared" si="1"/>
        <v>15643.766666666666</v>
      </c>
      <c r="D30" s="3">
        <f t="shared" si="2"/>
        <v>7277.2333333333336</v>
      </c>
      <c r="E30" s="3">
        <f t="shared" si="3"/>
        <v>15991.623148148148</v>
      </c>
      <c r="F30" s="3">
        <f t="shared" si="4"/>
        <v>6929.3768518518518</v>
      </c>
      <c r="G30" s="3">
        <f t="shared" si="5"/>
        <v>52958124.987777784</v>
      </c>
      <c r="H30" s="3">
        <f t="shared" si="6"/>
        <v>7277.2333333333336</v>
      </c>
      <c r="I30" s="3">
        <f t="shared" si="7"/>
        <v>31.749196515567967</v>
      </c>
      <c r="J30" s="3">
        <f t="shared" si="8"/>
        <v>31.749196515567967</v>
      </c>
    </row>
    <row r="31" spans="1:10" x14ac:dyDescent="0.25">
      <c r="A31" s="2">
        <v>45231</v>
      </c>
      <c r="B31" s="3">
        <v>25876.6</v>
      </c>
      <c r="C31" s="3">
        <f t="shared" si="1"/>
        <v>19274.883333333331</v>
      </c>
      <c r="D31" s="3">
        <f t="shared" si="2"/>
        <v>6601.7166666666672</v>
      </c>
      <c r="E31" s="3">
        <f t="shared" si="3"/>
        <v>19622.739814814813</v>
      </c>
      <c r="F31" s="3">
        <f t="shared" si="4"/>
        <v>6253.8601851851854</v>
      </c>
      <c r="G31" s="3">
        <f t="shared" si="5"/>
        <v>43582662.946944453</v>
      </c>
      <c r="H31" s="3">
        <f t="shared" si="6"/>
        <v>6601.7166666666672</v>
      </c>
      <c r="I31" s="3">
        <f t="shared" si="7"/>
        <v>25.512303264983295</v>
      </c>
      <c r="J31" s="3">
        <f t="shared" si="8"/>
        <v>25.512303264983295</v>
      </c>
    </row>
    <row r="32" spans="1:10" x14ac:dyDescent="0.25">
      <c r="A32" s="2">
        <v>45261</v>
      </c>
      <c r="B32" s="3">
        <v>31652.9</v>
      </c>
      <c r="C32" s="3">
        <f t="shared" si="1"/>
        <v>23257.183333333331</v>
      </c>
      <c r="D32" s="3">
        <f t="shared" si="2"/>
        <v>8395.7166666666708</v>
      </c>
      <c r="E32" s="3">
        <f t="shared" si="3"/>
        <v>23605.039814814812</v>
      </c>
      <c r="F32" s="3">
        <f t="shared" si="4"/>
        <v>8047.860185185189</v>
      </c>
      <c r="G32" s="3">
        <f t="shared" si="5"/>
        <v>70488058.346944511</v>
      </c>
      <c r="H32" s="3">
        <f t="shared" si="6"/>
        <v>8395.7166666666708</v>
      </c>
      <c r="I32" s="3">
        <f t="shared" si="7"/>
        <v>26.524320573049138</v>
      </c>
      <c r="J32" s="3">
        <f t="shared" si="8"/>
        <v>26.524320573049138</v>
      </c>
    </row>
    <row r="33" spans="1:10" x14ac:dyDescent="0.25">
      <c r="A33" s="2">
        <v>45292</v>
      </c>
      <c r="B33" s="3">
        <v>30833</v>
      </c>
      <c r="C33" s="3">
        <f t="shared" si="1"/>
        <v>28272.15</v>
      </c>
      <c r="D33" s="3">
        <f t="shared" si="2"/>
        <v>2560.8499999999985</v>
      </c>
      <c r="E33" s="3">
        <f t="shared" si="3"/>
        <v>28620.006481481483</v>
      </c>
      <c r="F33" s="3">
        <f t="shared" si="4"/>
        <v>2212.9935185185168</v>
      </c>
      <c r="G33" s="3">
        <f t="shared" si="5"/>
        <v>6557952.7224999927</v>
      </c>
      <c r="H33" s="3">
        <f t="shared" si="6"/>
        <v>2560.8499999999985</v>
      </c>
      <c r="I33" s="3">
        <f t="shared" si="7"/>
        <v>8.3055492491810679</v>
      </c>
      <c r="J33" s="3">
        <f t="shared" si="8"/>
        <v>8.3055492491810679</v>
      </c>
    </row>
    <row r="34" spans="1:10" x14ac:dyDescent="0.25">
      <c r="A34" s="2">
        <v>45323</v>
      </c>
      <c r="B34" s="3">
        <v>24530.2</v>
      </c>
      <c r="C34" s="3">
        <f t="shared" si="1"/>
        <v>30280.233333333334</v>
      </c>
      <c r="D34" s="3">
        <f t="shared" si="2"/>
        <v>-5750.0333333333328</v>
      </c>
      <c r="E34" s="3">
        <f t="shared" si="3"/>
        <v>30628.089814814815</v>
      </c>
      <c r="F34" s="3">
        <f t="shared" si="4"/>
        <v>-6097.8898148148146</v>
      </c>
      <c r="G34" s="3">
        <f t="shared" si="5"/>
        <v>33062883.334444437</v>
      </c>
      <c r="H34" s="3">
        <f t="shared" si="6"/>
        <v>5750.0333333333328</v>
      </c>
      <c r="I34" s="3">
        <f t="shared" si="7"/>
        <v>-23.440629645634086</v>
      </c>
      <c r="J34" s="3">
        <f t="shared" si="8"/>
        <v>23.440629645634086</v>
      </c>
    </row>
    <row r="35" spans="1:10" x14ac:dyDescent="0.25">
      <c r="A35" s="2">
        <v>45352</v>
      </c>
      <c r="B35" s="3">
        <v>25006.6</v>
      </c>
      <c r="C35" s="3">
        <f t="shared" si="1"/>
        <v>27818.25</v>
      </c>
      <c r="D35" s="3">
        <f t="shared" si="2"/>
        <v>-2811.6500000000015</v>
      </c>
      <c r="E35" s="3">
        <f t="shared" si="3"/>
        <v>28166.106481481482</v>
      </c>
      <c r="F35" s="3">
        <f t="shared" si="4"/>
        <v>-3159.5064814814832</v>
      </c>
      <c r="G35" s="3">
        <f t="shared" si="5"/>
        <v>7905375.7225000085</v>
      </c>
      <c r="H35" s="3">
        <f t="shared" si="6"/>
        <v>2811.6500000000015</v>
      </c>
      <c r="I35" s="3">
        <f t="shared" si="7"/>
        <v>-11.24363168123616</v>
      </c>
      <c r="J35" s="3">
        <f t="shared" si="8"/>
        <v>11.24363168123616</v>
      </c>
    </row>
    <row r="36" spans="1:10" x14ac:dyDescent="0.25">
      <c r="A36" s="2">
        <v>45383</v>
      </c>
      <c r="B36" s="3">
        <v>21574.7</v>
      </c>
      <c r="C36" s="3">
        <f t="shared" si="1"/>
        <v>25818.866666666665</v>
      </c>
      <c r="D36" s="3">
        <f t="shared" si="2"/>
        <v>-4244.1666666666642</v>
      </c>
      <c r="E36" s="3">
        <f t="shared" si="3"/>
        <v>26166.723148148147</v>
      </c>
      <c r="F36" s="3">
        <f t="shared" si="4"/>
        <v>-4592.023148148146</v>
      </c>
      <c r="G36" s="3">
        <f t="shared" si="5"/>
        <v>18012950.694444425</v>
      </c>
      <c r="H36" s="3">
        <f t="shared" si="6"/>
        <v>4244.1666666666642</v>
      </c>
      <c r="I36" s="3">
        <f t="shared" si="7"/>
        <v>-19.671961448672121</v>
      </c>
      <c r="J36" s="3">
        <f t="shared" si="8"/>
        <v>19.671961448672121</v>
      </c>
    </row>
    <row r="37" spans="1:10" x14ac:dyDescent="0.25">
      <c r="A37" s="2">
        <v>45413</v>
      </c>
      <c r="B37" s="3">
        <v>22012.6</v>
      </c>
      <c r="C37" s="3">
        <f t="shared" si="1"/>
        <v>23211.25</v>
      </c>
      <c r="D37" s="3">
        <f t="shared" si="2"/>
        <v>-1198.6500000000015</v>
      </c>
      <c r="E37" s="3">
        <f t="shared" si="3"/>
        <v>23559.106481481482</v>
      </c>
      <c r="F37" s="3">
        <f t="shared" si="4"/>
        <v>-1546.5064814814832</v>
      </c>
      <c r="G37" s="3">
        <f t="shared" si="5"/>
        <v>1436761.8225000035</v>
      </c>
      <c r="H37" s="3">
        <f t="shared" si="6"/>
        <v>1198.6500000000015</v>
      </c>
      <c r="I37" s="3">
        <f t="shared" si="7"/>
        <v>-5.4452904245750231</v>
      </c>
      <c r="J37" s="3">
        <f t="shared" si="8"/>
        <v>5.4452904245750231</v>
      </c>
    </row>
    <row r="38" spans="1:10" x14ac:dyDescent="0.25">
      <c r="A38" s="2">
        <v>45444</v>
      </c>
      <c r="B38" s="3">
        <v>16396.900000000001</v>
      </c>
      <c r="C38" s="3">
        <f t="shared" si="1"/>
        <v>22365.633333333331</v>
      </c>
      <c r="D38" s="3">
        <f t="shared" si="2"/>
        <v>-5968.7333333333299</v>
      </c>
      <c r="E38" s="3">
        <f t="shared" si="3"/>
        <v>22713.489814814813</v>
      </c>
      <c r="F38" s="3">
        <f t="shared" si="4"/>
        <v>-6316.5898148148117</v>
      </c>
      <c r="G38" s="3">
        <f t="shared" si="5"/>
        <v>35625777.604444407</v>
      </c>
      <c r="H38" s="3">
        <f t="shared" si="6"/>
        <v>5968.7333333333299</v>
      </c>
      <c r="I38" s="3">
        <f t="shared" si="7"/>
        <v>-36.401596236686991</v>
      </c>
      <c r="J38" s="3">
        <f t="shared" si="8"/>
        <v>36.401596236686991</v>
      </c>
    </row>
    <row r="39" spans="1:10" x14ac:dyDescent="0.25">
      <c r="A39" s="2">
        <v>45474</v>
      </c>
      <c r="B39" s="3">
        <v>19960.3</v>
      </c>
      <c r="C39" s="3">
        <f t="shared" si="1"/>
        <v>19131.766666666666</v>
      </c>
      <c r="D39" s="3">
        <f t="shared" si="2"/>
        <v>828.53333333333285</v>
      </c>
      <c r="E39" s="3">
        <f t="shared" si="3"/>
        <v>19479.623148148148</v>
      </c>
      <c r="F39" s="3">
        <f t="shared" si="4"/>
        <v>480.6768518518511</v>
      </c>
      <c r="G39" s="3">
        <f t="shared" si="5"/>
        <v>686467.4844444436</v>
      </c>
      <c r="H39" s="3">
        <f t="shared" si="6"/>
        <v>828.53333333333285</v>
      </c>
      <c r="I39" s="3">
        <f t="shared" si="7"/>
        <v>4.1509062155044409</v>
      </c>
      <c r="J39" s="3">
        <f t="shared" si="8"/>
        <v>4.1509062155044409</v>
      </c>
    </row>
    <row r="40" spans="1:10" x14ac:dyDescent="0.25">
      <c r="A40" s="2">
        <v>45505</v>
      </c>
      <c r="B40" s="3">
        <v>17443.900000000001</v>
      </c>
      <c r="C40" s="3">
        <f t="shared" si="1"/>
        <v>19114.55</v>
      </c>
      <c r="D40" s="3">
        <f t="shared" si="2"/>
        <v>-1670.6499999999978</v>
      </c>
      <c r="E40" s="3">
        <f t="shared" si="3"/>
        <v>19462.406481481481</v>
      </c>
      <c r="F40" s="3">
        <f t="shared" si="4"/>
        <v>-2018.5064814814796</v>
      </c>
      <c r="G40" s="3">
        <f t="shared" si="5"/>
        <v>2791071.4224999929</v>
      </c>
      <c r="H40" s="3">
        <f t="shared" si="6"/>
        <v>1670.6499999999978</v>
      </c>
      <c r="I40" s="3">
        <f t="shared" si="7"/>
        <v>-9.5772734308268088</v>
      </c>
      <c r="J40" s="3">
        <f t="shared" si="8"/>
        <v>9.5772734308268088</v>
      </c>
    </row>
    <row r="41" spans="1:10" x14ac:dyDescent="0.25">
      <c r="A41" s="2">
        <v>45536</v>
      </c>
      <c r="B41" s="3">
        <v>17207.3</v>
      </c>
      <c r="C41" s="3">
        <f t="shared" si="1"/>
        <v>18108.2</v>
      </c>
      <c r="D41" s="3">
        <f t="shared" si="2"/>
        <v>-900.90000000000146</v>
      </c>
      <c r="E41" s="3">
        <f t="shared" si="3"/>
        <v>18456.056481481482</v>
      </c>
      <c r="F41" s="3">
        <f t="shared" si="4"/>
        <v>-1248.7564814814832</v>
      </c>
      <c r="G41" s="3">
        <f t="shared" si="5"/>
        <v>811620.81000000262</v>
      </c>
      <c r="H41" s="3">
        <f t="shared" si="6"/>
        <v>900.90000000000146</v>
      </c>
      <c r="I41" s="3">
        <f t="shared" si="7"/>
        <v>-5.2355686249440732</v>
      </c>
      <c r="J41" s="3">
        <f t="shared" si="8"/>
        <v>5.2355686249440732</v>
      </c>
    </row>
    <row r="42" spans="1:10" x14ac:dyDescent="0.25">
      <c r="A42" s="2">
        <v>45566</v>
      </c>
      <c r="B42" s="3">
        <v>17219.7</v>
      </c>
      <c r="C42" s="3">
        <f t="shared" si="1"/>
        <v>17745</v>
      </c>
      <c r="D42" s="3">
        <f t="shared" si="2"/>
        <v>-525.29999999999927</v>
      </c>
      <c r="E42" s="3">
        <f t="shared" si="3"/>
        <v>18092.856481481482</v>
      </c>
      <c r="F42" s="3">
        <f t="shared" si="4"/>
        <v>-873.15648148148102</v>
      </c>
      <c r="G42" s="3">
        <f t="shared" si="5"/>
        <v>275940.08999999921</v>
      </c>
      <c r="H42" s="3">
        <f t="shared" si="6"/>
        <v>525.29999999999927</v>
      </c>
      <c r="I42" s="3">
        <f t="shared" si="7"/>
        <v>-3.0505757940033753</v>
      </c>
      <c r="J42" s="3">
        <f t="shared" si="8"/>
        <v>3.0505757940033753</v>
      </c>
    </row>
    <row r="43" spans="1:10" x14ac:dyDescent="0.25">
      <c r="A43" s="2">
        <v>45597</v>
      </c>
      <c r="B43" s="3">
        <v>23717.5</v>
      </c>
      <c r="C43" s="3">
        <f t="shared" si="1"/>
        <v>17252.933333333334</v>
      </c>
      <c r="D43" s="3">
        <f t="shared" si="2"/>
        <v>6464.5666666666657</v>
      </c>
      <c r="E43" s="3">
        <f t="shared" si="3"/>
        <v>17600.789814814816</v>
      </c>
      <c r="F43" s="3">
        <f t="shared" si="4"/>
        <v>6116.7101851851839</v>
      </c>
      <c r="G43" s="3">
        <f t="shared" si="5"/>
        <v>41790622.187777765</v>
      </c>
      <c r="H43" s="3">
        <f t="shared" si="6"/>
        <v>6464.5666666666657</v>
      </c>
      <c r="I43" s="3">
        <f t="shared" si="7"/>
        <v>27.256526474825193</v>
      </c>
      <c r="J43" s="3">
        <f t="shared" si="8"/>
        <v>27.256526474825193</v>
      </c>
    </row>
    <row r="44" spans="1:10" x14ac:dyDescent="0.25">
      <c r="A44" s="2">
        <v>45627</v>
      </c>
      <c r="B44" s="3">
        <v>24021.8</v>
      </c>
      <c r="C44" s="3">
        <f t="shared" si="1"/>
        <v>20466.533333333333</v>
      </c>
      <c r="D44" s="3">
        <f t="shared" si="2"/>
        <v>3555.2666666666664</v>
      </c>
      <c r="E44" s="3">
        <f t="shared" si="3"/>
        <v>20814.389814814815</v>
      </c>
      <c r="F44" s="3">
        <f t="shared" si="4"/>
        <v>3207.4101851851847</v>
      </c>
      <c r="G44" s="3">
        <f t="shared" si="5"/>
        <v>12639921.071111109</v>
      </c>
      <c r="H44" s="3">
        <f t="shared" si="6"/>
        <v>3555.2666666666664</v>
      </c>
      <c r="I44" s="3">
        <f t="shared" si="7"/>
        <v>14.800167625517933</v>
      </c>
      <c r="J44" s="3">
        <f t="shared" si="8"/>
        <v>14.800167625517933</v>
      </c>
    </row>
    <row r="45" spans="1:10" x14ac:dyDescent="0.25">
      <c r="A45" s="2">
        <v>45658</v>
      </c>
      <c r="B45" s="3">
        <v>27948.799999999999</v>
      </c>
      <c r="C45" s="3">
        <f t="shared" si="1"/>
        <v>22786.683333333334</v>
      </c>
      <c r="D45" s="3">
        <f t="shared" si="2"/>
        <v>5162.116666666665</v>
      </c>
      <c r="E45" s="3">
        <f t="shared" si="3"/>
        <v>23134.539814814816</v>
      </c>
      <c r="F45" s="3">
        <f t="shared" si="4"/>
        <v>4814.2601851851832</v>
      </c>
      <c r="G45" s="3">
        <f t="shared" si="5"/>
        <v>26647448.480277762</v>
      </c>
      <c r="H45" s="3">
        <f t="shared" si="6"/>
        <v>5162.116666666665</v>
      </c>
      <c r="I45" s="3">
        <f t="shared" si="7"/>
        <v>18.469904492023502</v>
      </c>
      <c r="J45" s="3">
        <f t="shared" si="8"/>
        <v>18.469904492023502</v>
      </c>
    </row>
    <row r="46" spans="1:10" x14ac:dyDescent="0.25">
      <c r="A46" s="2">
        <v>45689</v>
      </c>
      <c r="B46" s="3">
        <v>23566.1</v>
      </c>
      <c r="C46" s="3">
        <f t="shared" si="1"/>
        <v>25934.583333333332</v>
      </c>
      <c r="D46" s="3">
        <f t="shared" si="2"/>
        <v>-2368.4833333333336</v>
      </c>
      <c r="E46" s="3">
        <f t="shared" si="3"/>
        <v>26282.439814814814</v>
      </c>
      <c r="F46" s="3">
        <f t="shared" si="4"/>
        <v>-2716.3398148148153</v>
      </c>
      <c r="G46" s="3">
        <f t="shared" si="5"/>
        <v>5609713.3002777789</v>
      </c>
      <c r="H46" s="3">
        <f t="shared" si="6"/>
        <v>2368.4833333333336</v>
      </c>
      <c r="I46" s="3">
        <f t="shared" si="7"/>
        <v>-10.050383106807379</v>
      </c>
      <c r="J46" s="3">
        <f t="shared" si="8"/>
        <v>10.050383106807379</v>
      </c>
    </row>
    <row r="47" spans="1:10" x14ac:dyDescent="0.25">
      <c r="A47" s="2">
        <v>45717</v>
      </c>
      <c r="B47" s="3">
        <v>21854.6</v>
      </c>
      <c r="C47" s="3">
        <f t="shared" si="1"/>
        <v>25102.949999999997</v>
      </c>
      <c r="D47" s="3">
        <f t="shared" si="2"/>
        <v>-3248.3499999999985</v>
      </c>
      <c r="E47" s="3">
        <f t="shared" si="3"/>
        <v>25450.806481481479</v>
      </c>
      <c r="F47" s="3">
        <f t="shared" si="4"/>
        <v>-3596.2064814814803</v>
      </c>
      <c r="G47" s="3">
        <f t="shared" si="5"/>
        <v>10551777.722499991</v>
      </c>
      <c r="H47" s="3">
        <f t="shared" si="6"/>
        <v>3248.3499999999985</v>
      </c>
      <c r="I47" s="3">
        <f t="shared" si="7"/>
        <v>-14.863461239281428</v>
      </c>
      <c r="J47" s="3">
        <f t="shared" si="8"/>
        <v>14.863461239281428</v>
      </c>
    </row>
    <row r="48" spans="1:10" x14ac:dyDescent="0.25">
      <c r="A48" s="2">
        <v>45748</v>
      </c>
      <c r="B48" s="3">
        <v>19727.8</v>
      </c>
      <c r="C48" s="3">
        <f t="shared" si="1"/>
        <v>23440.799999999996</v>
      </c>
      <c r="D48" s="3">
        <f t="shared" si="2"/>
        <v>-3712.9999999999964</v>
      </c>
      <c r="E48" s="3">
        <f t="shared" si="3"/>
        <v>23788.656481481477</v>
      </c>
      <c r="F48" s="3">
        <f t="shared" si="4"/>
        <v>-4060.8564814814781</v>
      </c>
      <c r="G48" s="3">
        <f t="shared" si="5"/>
        <v>13786368.999999972</v>
      </c>
      <c r="H48" s="3">
        <f t="shared" si="6"/>
        <v>3712.9999999999964</v>
      </c>
      <c r="I48" s="3">
        <f t="shared" si="7"/>
        <v>-18.821155932237737</v>
      </c>
      <c r="J48" s="3">
        <f t="shared" si="8"/>
        <v>18.821155932237737</v>
      </c>
    </row>
    <row r="49" spans="1:10" x14ac:dyDescent="0.25">
      <c r="A49" s="2">
        <v>45778</v>
      </c>
      <c r="B49" s="3">
        <v>19381.5</v>
      </c>
      <c r="C49" s="3">
        <f t="shared" si="1"/>
        <v>21076.45</v>
      </c>
      <c r="D49" s="3">
        <f t="shared" si="2"/>
        <v>-1694.9500000000007</v>
      </c>
      <c r="E49" s="3">
        <f t="shared" si="3"/>
        <v>21424.306481481482</v>
      </c>
      <c r="F49" s="3">
        <f t="shared" si="4"/>
        <v>-2042.8064814814825</v>
      </c>
      <c r="G49" s="3">
        <f t="shared" si="5"/>
        <v>2872855.5025000023</v>
      </c>
      <c r="H49" s="3">
        <f t="shared" si="6"/>
        <v>1694.9500000000007</v>
      </c>
      <c r="I49" s="3">
        <f t="shared" si="7"/>
        <v>-8.7451951603333118</v>
      </c>
      <c r="J49" s="3">
        <f t="shared" si="8"/>
        <v>8.7451951603333118</v>
      </c>
    </row>
    <row r="50" spans="1:10" x14ac:dyDescent="0.25">
      <c r="A50" s="2">
        <v>45809</v>
      </c>
      <c r="B50" s="3">
        <v>17261.5</v>
      </c>
      <c r="C50" s="3">
        <f t="shared" si="1"/>
        <v>19909.116666666665</v>
      </c>
      <c r="D50" s="3">
        <f t="shared" si="2"/>
        <v>-2647.616666666665</v>
      </c>
      <c r="E50" s="3">
        <f t="shared" si="3"/>
        <v>20256.973148148147</v>
      </c>
      <c r="F50" s="3">
        <f t="shared" si="4"/>
        <v>-2995.4731481481467</v>
      </c>
      <c r="G50" s="3">
        <f t="shared" si="5"/>
        <v>7009874.0136111025</v>
      </c>
      <c r="H50" s="3">
        <f t="shared" si="6"/>
        <v>2647.616666666665</v>
      </c>
      <c r="I50" s="3">
        <f t="shared" si="7"/>
        <v>-15.338276897527242</v>
      </c>
      <c r="J50" s="3">
        <f t="shared" si="8"/>
        <v>15.338276897527242</v>
      </c>
    </row>
    <row r="51" spans="1:10" x14ac:dyDescent="0.25">
      <c r="A51" s="2">
        <v>45839</v>
      </c>
      <c r="B51" s="3">
        <v>15143.8</v>
      </c>
      <c r="C51" s="3">
        <f t="shared" si="1"/>
        <v>18379.216666666667</v>
      </c>
      <c r="D51" s="3">
        <f t="shared" si="2"/>
        <v>-3235.4166666666679</v>
      </c>
      <c r="E51" s="3">
        <f t="shared" si="3"/>
        <v>18727.073148148149</v>
      </c>
      <c r="F51" s="3">
        <f t="shared" si="4"/>
        <v>-3583.2731481481496</v>
      </c>
      <c r="G51" s="3">
        <f t="shared" si="5"/>
        <v>10467921.006944451</v>
      </c>
      <c r="H51" s="3">
        <f t="shared" si="6"/>
        <v>3235.4166666666679</v>
      </c>
      <c r="I51" s="3">
        <f t="shared" si="7"/>
        <v>-21.364628869020112</v>
      </c>
      <c r="J51" s="3">
        <f t="shared" si="8"/>
        <v>21.364628869020112</v>
      </c>
    </row>
    <row r="52" spans="1:10" x14ac:dyDescent="0.25">
      <c r="A52" s="2">
        <v>45870</v>
      </c>
      <c r="B52" s="3">
        <v>14218.8</v>
      </c>
      <c r="C52" s="3">
        <f t="shared" si="1"/>
        <v>16555.983333333334</v>
      </c>
      <c r="D52" s="3">
        <f t="shared" si="2"/>
        <v>-2337.1833333333343</v>
      </c>
      <c r="E52" s="3">
        <f t="shared" si="3"/>
        <v>16903.839814814815</v>
      </c>
      <c r="F52" s="3">
        <f t="shared" si="4"/>
        <v>-2685.0398148148161</v>
      </c>
      <c r="G52" s="3">
        <f t="shared" si="5"/>
        <v>5462425.9336111154</v>
      </c>
      <c r="H52" s="3">
        <f t="shared" si="6"/>
        <v>2337.1833333333343</v>
      </c>
      <c r="I52" s="3">
        <f t="shared" si="7"/>
        <v>-16.437275531924879</v>
      </c>
      <c r="J52" s="3">
        <f t="shared" si="8"/>
        <v>16.437275531924879</v>
      </c>
    </row>
    <row r="53" spans="1:10" x14ac:dyDescent="0.25">
      <c r="A53" s="2">
        <v>45901</v>
      </c>
      <c r="B53" s="3">
        <v>15859.6</v>
      </c>
      <c r="C53" s="3">
        <f t="shared" si="1"/>
        <v>15034.249999999998</v>
      </c>
      <c r="D53" s="3">
        <f t="shared" si="2"/>
        <v>825.35000000000218</v>
      </c>
      <c r="E53" s="3">
        <f t="shared" si="3"/>
        <v>15382.10648148148</v>
      </c>
      <c r="F53" s="3">
        <f t="shared" si="4"/>
        <v>477.49351851852043</v>
      </c>
      <c r="G53" s="3">
        <f t="shared" si="5"/>
        <v>681202.62250000355</v>
      </c>
      <c r="H53" s="3">
        <f t="shared" si="6"/>
        <v>825.35000000000218</v>
      </c>
      <c r="I53" s="3">
        <f t="shared" si="7"/>
        <v>5.2041035082852165</v>
      </c>
      <c r="J53" s="3">
        <f t="shared" si="8"/>
        <v>5.2041035082852165</v>
      </c>
    </row>
    <row r="54" spans="1:10" x14ac:dyDescent="0.25">
      <c r="A54" s="2">
        <v>45931</v>
      </c>
      <c r="B54" s="3">
        <v>19940.5</v>
      </c>
      <c r="C54" s="3">
        <f t="shared" si="1"/>
        <v>15193.366666666665</v>
      </c>
      <c r="D54" s="3">
        <f t="shared" si="2"/>
        <v>4747.133333333335</v>
      </c>
      <c r="E54" s="3">
        <f t="shared" si="3"/>
        <v>15541.223148148147</v>
      </c>
      <c r="F54" s="3">
        <f t="shared" si="4"/>
        <v>4399.2768518518533</v>
      </c>
      <c r="G54" s="3">
        <f t="shared" si="5"/>
        <v>22535274.88444446</v>
      </c>
      <c r="H54" s="3">
        <f t="shared" si="6"/>
        <v>4747.133333333335</v>
      </c>
      <c r="I54" s="3">
        <f t="shared" si="7"/>
        <v>23.806490977324216</v>
      </c>
      <c r="J54" s="3">
        <f t="shared" si="8"/>
        <v>23.806490977324216</v>
      </c>
    </row>
    <row r="55" spans="1:10" x14ac:dyDescent="0.25">
      <c r="A55" s="2">
        <v>45962</v>
      </c>
      <c r="B55" s="3">
        <v>24404.5</v>
      </c>
      <c r="C55" s="3">
        <f t="shared" si="1"/>
        <v>17626.583333333332</v>
      </c>
      <c r="D55" s="3">
        <f t="shared" si="2"/>
        <v>6777.9166666666679</v>
      </c>
      <c r="E55" s="3">
        <f t="shared" si="3"/>
        <v>17974.439814814814</v>
      </c>
      <c r="F55" s="3">
        <f t="shared" si="4"/>
        <v>6430.0601851851861</v>
      </c>
      <c r="G55" s="3">
        <f t="shared" si="5"/>
        <v>45940154.340277791</v>
      </c>
      <c r="H55" s="3">
        <f t="shared" si="6"/>
        <v>6777.9166666666679</v>
      </c>
      <c r="I55" s="3">
        <f t="shared" si="7"/>
        <v>27.773224883388998</v>
      </c>
      <c r="J55" s="3">
        <f t="shared" si="8"/>
        <v>27.773224883388998</v>
      </c>
    </row>
    <row r="56" spans="1:10" x14ac:dyDescent="0.25">
      <c r="A56" s="2">
        <v>45992</v>
      </c>
      <c r="B56" s="3">
        <v>28205.8</v>
      </c>
      <c r="C56" s="3">
        <f t="shared" si="1"/>
        <v>21492.35</v>
      </c>
      <c r="D56" s="3">
        <f t="shared" si="2"/>
        <v>6713.4500000000007</v>
      </c>
      <c r="E56" s="3">
        <f t="shared" si="3"/>
        <v>21840.20648148148</v>
      </c>
      <c r="F56" s="3">
        <f t="shared" si="4"/>
        <v>6365.593518518519</v>
      </c>
      <c r="G56" s="3">
        <f t="shared" si="5"/>
        <v>45070410.902500011</v>
      </c>
      <c r="H56" s="3">
        <f t="shared" si="6"/>
        <v>6713.4500000000007</v>
      </c>
      <c r="I56" s="3">
        <f t="shared" si="7"/>
        <v>23.80166490579952</v>
      </c>
      <c r="J56" s="3">
        <f t="shared" si="8"/>
        <v>23.80166490579952</v>
      </c>
    </row>
    <row r="57" spans="1:10" x14ac:dyDescent="0.25">
      <c r="A57" s="2">
        <v>46023</v>
      </c>
      <c r="B57" s="3">
        <v>29341.599999999999</v>
      </c>
      <c r="C57" s="3">
        <f t="shared" si="1"/>
        <v>25561.15</v>
      </c>
      <c r="D57" s="3">
        <f t="shared" si="2"/>
        <v>3780.4499999999971</v>
      </c>
      <c r="E57" s="3">
        <f t="shared" si="3"/>
        <v>25909.006481481483</v>
      </c>
      <c r="F57" s="3">
        <f t="shared" si="4"/>
        <v>3432.5935185185153</v>
      </c>
      <c r="G57" s="3">
        <f t="shared" si="5"/>
        <v>14291802.202499978</v>
      </c>
      <c r="H57" s="3">
        <f t="shared" si="6"/>
        <v>3780.4499999999971</v>
      </c>
      <c r="I57" s="3">
        <f t="shared" si="7"/>
        <v>12.884266706655387</v>
      </c>
      <c r="J57" s="3">
        <f t="shared" si="8"/>
        <v>12.884266706655387</v>
      </c>
    </row>
    <row r="58" spans="1:10" x14ac:dyDescent="0.25">
      <c r="A58" s="2">
        <v>46054</v>
      </c>
      <c r="B58" s="3">
        <v>26036</v>
      </c>
      <c r="C58" s="3">
        <f t="shared" si="1"/>
        <v>28140.149999999998</v>
      </c>
      <c r="D58" s="3">
        <f t="shared" si="2"/>
        <v>-2104.1499999999978</v>
      </c>
      <c r="E58" s="3">
        <f t="shared" si="3"/>
        <v>28488.00648148148</v>
      </c>
      <c r="F58" s="3">
        <f t="shared" si="4"/>
        <v>-2452.0064814814796</v>
      </c>
      <c r="G58" s="3">
        <f t="shared" si="5"/>
        <v>4427447.2224999908</v>
      </c>
      <c r="H58" s="3">
        <f t="shared" si="6"/>
        <v>2104.1499999999978</v>
      </c>
      <c r="I58" s="3">
        <f t="shared" si="7"/>
        <v>-8.0816945767398902</v>
      </c>
      <c r="J58" s="3">
        <f t="shared" si="8"/>
        <v>8.0816945767398902</v>
      </c>
    </row>
    <row r="59" spans="1:10" x14ac:dyDescent="0.25">
      <c r="A59" s="2">
        <v>46082</v>
      </c>
      <c r="B59" s="3">
        <v>25269.7</v>
      </c>
      <c r="C59" s="3">
        <f t="shared" si="1"/>
        <v>27499.5</v>
      </c>
      <c r="D59" s="3">
        <f t="shared" si="2"/>
        <v>-2229.7999999999993</v>
      </c>
      <c r="E59" s="3">
        <f t="shared" si="3"/>
        <v>27847.356481481482</v>
      </c>
      <c r="F59" s="3">
        <f t="shared" si="4"/>
        <v>-2577.656481481481</v>
      </c>
      <c r="G59" s="3">
        <f t="shared" si="5"/>
        <v>4972008.0399999963</v>
      </c>
      <c r="H59" s="3">
        <f t="shared" si="6"/>
        <v>2229.7999999999993</v>
      </c>
      <c r="I59" s="3">
        <f t="shared" si="7"/>
        <v>-8.8240066166199025</v>
      </c>
      <c r="J59" s="3">
        <f t="shared" si="8"/>
        <v>8.8240066166199025</v>
      </c>
    </row>
    <row r="60" spans="1:10" x14ac:dyDescent="0.25">
      <c r="A60" s="32">
        <v>46113</v>
      </c>
      <c r="C60" s="21">
        <f t="shared" si="1"/>
        <v>26203.783333333333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4D295-570C-46B4-9163-47F4B68A4C45}">
  <dimension ref="A1:R70"/>
  <sheetViews>
    <sheetView tabSelected="1" zoomScale="160" zoomScaleNormal="160" workbookViewId="0">
      <pane ySplit="1" topLeftCell="A2" activePane="bottomLeft" state="frozen"/>
      <selection pane="bottomLeft" activeCell="E8" sqref="E8:E58"/>
    </sheetView>
  </sheetViews>
  <sheetFormatPr defaultRowHeight="14.3" x14ac:dyDescent="0.25"/>
  <cols>
    <col min="1" max="1" width="7.75" bestFit="1" customWidth="1"/>
    <col min="2" max="2" width="14.25" bestFit="1" customWidth="1"/>
    <col min="3" max="4" width="10.125" bestFit="1" customWidth="1"/>
    <col min="5" max="5" width="17.875" bestFit="1" customWidth="1"/>
    <col min="6" max="6" width="14.125" bestFit="1" customWidth="1"/>
    <col min="7" max="7" width="13.375" bestFit="1" customWidth="1"/>
    <col min="8" max="8" width="9.875" bestFit="1" customWidth="1"/>
    <col min="9" max="9" width="17.875" bestFit="1" customWidth="1"/>
    <col min="10" max="10" width="17.75" bestFit="1" customWidth="1"/>
    <col min="11" max="11" width="19.75" bestFit="1" customWidth="1"/>
    <col min="12" max="12" width="17.75" bestFit="1" customWidth="1"/>
    <col min="13" max="13" width="7.625" bestFit="1" customWidth="1"/>
    <col min="14" max="14" width="16.125" bestFit="1" customWidth="1"/>
    <col min="17" max="17" width="25.25" bestFit="1" customWidth="1"/>
    <col min="18" max="18" width="12.125" bestFit="1" customWidth="1"/>
  </cols>
  <sheetData>
    <row r="1" spans="1:18" ht="15.8" x14ac:dyDescent="0.25">
      <c r="A1" s="27" t="s">
        <v>0</v>
      </c>
      <c r="B1" s="27" t="s">
        <v>6</v>
      </c>
      <c r="C1" s="27" t="s">
        <v>7</v>
      </c>
      <c r="D1" s="27" t="s">
        <v>8</v>
      </c>
      <c r="E1" s="27" t="s">
        <v>9</v>
      </c>
      <c r="F1" s="27" t="s">
        <v>10</v>
      </c>
      <c r="G1" s="27" t="s">
        <v>11</v>
      </c>
      <c r="H1" s="28" t="s">
        <v>3</v>
      </c>
      <c r="I1" s="28" t="s">
        <v>4</v>
      </c>
      <c r="J1" s="28" t="s">
        <v>5</v>
      </c>
      <c r="K1" s="28" t="s">
        <v>16</v>
      </c>
      <c r="L1" s="28" t="s">
        <v>20</v>
      </c>
      <c r="M1" s="28" t="s">
        <v>21</v>
      </c>
      <c r="N1" s="28" t="s">
        <v>22</v>
      </c>
    </row>
    <row r="2" spans="1:18" ht="15.8" x14ac:dyDescent="0.25">
      <c r="A2" s="7">
        <v>44378</v>
      </c>
      <c r="B2" s="6">
        <v>43439.7</v>
      </c>
      <c r="C2" s="6"/>
      <c r="D2" s="6"/>
      <c r="E2" s="6"/>
      <c r="F2" s="6"/>
      <c r="G2" s="6"/>
      <c r="H2" s="3"/>
      <c r="I2" s="3"/>
      <c r="J2" s="3"/>
      <c r="K2" s="3"/>
      <c r="L2" s="3"/>
      <c r="M2" s="3"/>
      <c r="N2" s="3"/>
      <c r="Q2" s="23" t="s">
        <v>15</v>
      </c>
      <c r="R2" s="13">
        <f>AVERAGE(H9:H58)</f>
        <v>528.61111111111131</v>
      </c>
    </row>
    <row r="3" spans="1:18" ht="15.8" x14ac:dyDescent="0.25">
      <c r="A3" s="7">
        <v>44409</v>
      </c>
      <c r="B3" s="6">
        <v>42795.8</v>
      </c>
      <c r="C3" s="6"/>
      <c r="D3" s="6"/>
      <c r="E3" s="6"/>
      <c r="F3" s="6"/>
      <c r="G3" s="6"/>
      <c r="H3" s="3"/>
      <c r="I3" s="3"/>
      <c r="J3" s="3"/>
      <c r="K3" s="3"/>
      <c r="L3" s="3"/>
      <c r="M3" s="3"/>
      <c r="N3" s="3"/>
      <c r="Q3" s="23" t="s">
        <v>12</v>
      </c>
      <c r="R3" s="13">
        <f>AVERAGE(J9:J58)</f>
        <v>0</v>
      </c>
    </row>
    <row r="4" spans="1:18" ht="15.8" x14ac:dyDescent="0.25">
      <c r="A4" s="7">
        <v>44440</v>
      </c>
      <c r="B4" s="6">
        <v>43575.4</v>
      </c>
      <c r="C4" s="6"/>
      <c r="D4" s="6"/>
      <c r="E4" s="6"/>
      <c r="F4" s="6"/>
      <c r="G4" s="6"/>
      <c r="H4" s="3"/>
      <c r="I4" s="3"/>
      <c r="J4" s="3"/>
      <c r="K4" s="3"/>
      <c r="L4" s="3"/>
      <c r="M4" s="3"/>
      <c r="N4" s="3"/>
      <c r="Q4" s="23" t="s">
        <v>17</v>
      </c>
      <c r="R4" s="13">
        <f>AVERAGE(K9:K58)</f>
        <v>43865061.327022225</v>
      </c>
    </row>
    <row r="5" spans="1:18" ht="15.8" x14ac:dyDescent="0.25">
      <c r="A5" s="7">
        <v>44470</v>
      </c>
      <c r="B5" s="6">
        <v>37323.9</v>
      </c>
      <c r="C5" s="6">
        <f>AVERAGE(B2,B3,B4)</f>
        <v>43270.299999999996</v>
      </c>
      <c r="D5" s="6"/>
      <c r="E5" s="6"/>
      <c r="F5" s="6"/>
      <c r="G5" s="6"/>
      <c r="H5" s="3"/>
      <c r="I5" s="3"/>
      <c r="J5" s="3"/>
      <c r="K5" s="3"/>
      <c r="L5" s="3"/>
      <c r="M5" s="3"/>
      <c r="N5" s="3"/>
      <c r="Q5" s="23" t="s">
        <v>18</v>
      </c>
      <c r="R5" s="13">
        <f>SQRT(R4)</f>
        <v>6623.0703851780272</v>
      </c>
    </row>
    <row r="6" spans="1:18" ht="15.8" x14ac:dyDescent="0.25">
      <c r="A6" s="7">
        <v>44501</v>
      </c>
      <c r="B6" s="6">
        <v>37760.800000000003</v>
      </c>
      <c r="C6" s="6">
        <f t="shared" ref="C6:D58" si="0">AVERAGE(B3,B4,B5)</f>
        <v>41231.700000000004</v>
      </c>
      <c r="D6" s="6"/>
      <c r="E6" s="6"/>
      <c r="F6" s="6"/>
      <c r="G6" s="6"/>
      <c r="H6" s="3"/>
      <c r="I6" s="3"/>
      <c r="J6" s="3"/>
      <c r="K6" s="3"/>
      <c r="L6" s="3"/>
      <c r="M6" s="3"/>
      <c r="N6" s="3"/>
      <c r="Q6" s="23" t="s">
        <v>19</v>
      </c>
      <c r="R6" s="13">
        <f>AVERAGE(L9:L58)</f>
        <v>5347.1093333333347</v>
      </c>
    </row>
    <row r="7" spans="1:18" ht="15.8" x14ac:dyDescent="0.25">
      <c r="A7" s="7">
        <v>44531</v>
      </c>
      <c r="B7" s="6">
        <v>40536.5</v>
      </c>
      <c r="C7" s="6">
        <f t="shared" si="0"/>
        <v>39553.366666666669</v>
      </c>
      <c r="D7" s="6"/>
      <c r="E7" s="6"/>
      <c r="F7" s="6"/>
      <c r="G7" s="6"/>
      <c r="H7" s="3"/>
      <c r="I7" s="3"/>
      <c r="J7" s="3"/>
      <c r="K7" s="3"/>
      <c r="L7" s="3"/>
      <c r="M7" s="3"/>
      <c r="N7" s="3"/>
      <c r="Q7" s="23" t="s">
        <v>24</v>
      </c>
      <c r="R7" s="13">
        <f>AVERAGE(N9:N58)</f>
        <v>25.391231747709675</v>
      </c>
    </row>
    <row r="8" spans="1:18" ht="15.8" x14ac:dyDescent="0.25">
      <c r="A8" s="7">
        <v>44562</v>
      </c>
      <c r="B8" s="6">
        <v>38497.1</v>
      </c>
      <c r="C8" s="6">
        <f t="shared" si="0"/>
        <v>38540.400000000001</v>
      </c>
      <c r="D8" s="6">
        <f>AVERAGE(C5,C6,C7)</f>
        <v>41351.788888888892</v>
      </c>
      <c r="E8" s="6">
        <f>((2*C8)-D8)</f>
        <v>35729.011111111111</v>
      </c>
      <c r="F8" s="6">
        <f>((2/(COUNT(B2,B3,B4)-1))*(C8-D8))</f>
        <v>-2811.3888888888905</v>
      </c>
      <c r="G8" s="6"/>
      <c r="H8" s="3"/>
      <c r="I8" s="3"/>
      <c r="J8" s="3"/>
      <c r="K8" s="3"/>
      <c r="L8" s="3"/>
      <c r="M8" s="3"/>
      <c r="N8" s="3"/>
      <c r="Q8" s="23" t="s">
        <v>25</v>
      </c>
      <c r="R8" s="13">
        <f>AVERAGE(M9:M58)</f>
        <v>-0.52604262120249601</v>
      </c>
    </row>
    <row r="9" spans="1:18" ht="15.8" x14ac:dyDescent="0.25">
      <c r="A9" s="7">
        <v>44593</v>
      </c>
      <c r="B9" s="6">
        <v>34233.9</v>
      </c>
      <c r="C9" s="6">
        <f t="shared" si="0"/>
        <v>38931.466666666667</v>
      </c>
      <c r="D9" s="6">
        <f t="shared" si="0"/>
        <v>39775.155555555561</v>
      </c>
      <c r="E9" s="6">
        <f t="shared" ref="E9:E58" si="1">((2*C9)-D9)</f>
        <v>38087.777777777774</v>
      </c>
      <c r="F9" s="6">
        <f t="shared" ref="F9:F58" si="2">((2/(COUNT(B3,B4,B5)-1))*(C9-D9))</f>
        <v>-843.68888888889342</v>
      </c>
      <c r="G9" s="6">
        <f>E8+F8</f>
        <v>32917.62222222222</v>
      </c>
      <c r="H9" s="3">
        <f>B9-G9</f>
        <v>1316.277777777781</v>
      </c>
      <c r="I9" s="3">
        <f>G9+$R$2</f>
        <v>33446.23333333333</v>
      </c>
      <c r="J9" s="3">
        <f>B9-I9</f>
        <v>787.66666666667152</v>
      </c>
      <c r="K9" s="3">
        <f>H9^2</f>
        <v>1732587.1882716136</v>
      </c>
      <c r="L9" s="3" cm="1">
        <f t="array" ref="L9:L58">ABS(H9:H58)</f>
        <v>1316.277777777781</v>
      </c>
      <c r="M9" s="3">
        <f>(H9/B9)*100</f>
        <v>3.8449542055616828</v>
      </c>
      <c r="N9" s="3">
        <f>ABS(M9)</f>
        <v>3.8449542055616828</v>
      </c>
    </row>
    <row r="10" spans="1:18" ht="15.8" x14ac:dyDescent="0.25">
      <c r="A10" s="7">
        <v>44621</v>
      </c>
      <c r="B10" s="6">
        <v>35915</v>
      </c>
      <c r="C10" s="6">
        <f t="shared" si="0"/>
        <v>37755.833333333336</v>
      </c>
      <c r="D10" s="6">
        <f t="shared" si="0"/>
        <v>39008.411111111112</v>
      </c>
      <c r="E10" s="6">
        <f t="shared" si="1"/>
        <v>36503.255555555559</v>
      </c>
      <c r="F10" s="6">
        <f t="shared" si="2"/>
        <v>-1252.5777777777766</v>
      </c>
      <c r="G10" s="6">
        <f t="shared" ref="G10:G58" si="3">E9+F9</f>
        <v>37244.08888888888</v>
      </c>
      <c r="H10" s="3">
        <f>B10-G10</f>
        <v>-1329.0888888888803</v>
      </c>
      <c r="I10" s="3">
        <f t="shared" ref="I10:I58" si="4">G10+$R$2</f>
        <v>37772.69999999999</v>
      </c>
      <c r="J10" s="3">
        <f t="shared" ref="J10:J58" si="5">B10-I10</f>
        <v>-1857.6999999999898</v>
      </c>
      <c r="K10" s="3">
        <f t="shared" ref="K10:K58" si="6">H10^2</f>
        <v>1766477.2745678783</v>
      </c>
      <c r="L10" s="3">
        <v>1329.0888888888803</v>
      </c>
      <c r="M10" s="3">
        <f t="shared" ref="M10:M58" si="7">(H10/B10)*100</f>
        <v>-3.700651228981986</v>
      </c>
      <c r="N10" s="3">
        <f t="shared" ref="N10:N58" si="8">ABS(M10)</f>
        <v>3.700651228981986</v>
      </c>
    </row>
    <row r="11" spans="1:18" ht="15.8" x14ac:dyDescent="0.25">
      <c r="A11" s="7">
        <v>44652</v>
      </c>
      <c r="B11" s="6">
        <v>33419.599999999999</v>
      </c>
      <c r="C11" s="6">
        <f t="shared" si="0"/>
        <v>36215.333333333336</v>
      </c>
      <c r="D11" s="6">
        <f t="shared" si="0"/>
        <v>38409.233333333337</v>
      </c>
      <c r="E11" s="6">
        <f t="shared" si="1"/>
        <v>34021.433333333334</v>
      </c>
      <c r="F11" s="6">
        <f t="shared" si="2"/>
        <v>-2193.9000000000015</v>
      </c>
      <c r="G11" s="6">
        <f t="shared" si="3"/>
        <v>35250.677777777782</v>
      </c>
      <c r="H11" s="3">
        <f t="shared" ref="H11:H58" si="9">B11-G11</f>
        <v>-1831.0777777777839</v>
      </c>
      <c r="I11" s="3">
        <f t="shared" si="4"/>
        <v>35779.288888888892</v>
      </c>
      <c r="J11" s="3">
        <f t="shared" si="5"/>
        <v>-2359.6888888888934</v>
      </c>
      <c r="K11" s="3">
        <f t="shared" si="6"/>
        <v>3352845.8282716274</v>
      </c>
      <c r="L11" s="3">
        <v>1831.0777777777839</v>
      </c>
      <c r="M11" s="3">
        <f t="shared" si="7"/>
        <v>-5.4790535427646772</v>
      </c>
      <c r="N11" s="3">
        <f t="shared" si="8"/>
        <v>5.4790535427646772</v>
      </c>
    </row>
    <row r="12" spans="1:18" ht="15.8" x14ac:dyDescent="0.25">
      <c r="A12" s="7">
        <v>44682</v>
      </c>
      <c r="B12" s="6">
        <v>32549.9</v>
      </c>
      <c r="C12" s="6">
        <f t="shared" si="0"/>
        <v>34522.833333333336</v>
      </c>
      <c r="D12" s="6">
        <f t="shared" si="0"/>
        <v>37634.211111111108</v>
      </c>
      <c r="E12" s="6">
        <f t="shared" si="1"/>
        <v>31411.455555555563</v>
      </c>
      <c r="F12" s="6">
        <f t="shared" si="2"/>
        <v>-3111.3777777777723</v>
      </c>
      <c r="G12" s="6">
        <f t="shared" si="3"/>
        <v>31827.533333333333</v>
      </c>
      <c r="H12" s="3">
        <f t="shared" si="9"/>
        <v>722.36666666666861</v>
      </c>
      <c r="I12" s="3">
        <f t="shared" si="4"/>
        <v>32356.144444444442</v>
      </c>
      <c r="J12" s="3">
        <f t="shared" si="5"/>
        <v>193.75555555555911</v>
      </c>
      <c r="K12" s="3">
        <f t="shared" si="6"/>
        <v>521813.60111111391</v>
      </c>
      <c r="L12" s="3">
        <v>722.36666666666861</v>
      </c>
      <c r="M12" s="3">
        <f t="shared" si="7"/>
        <v>2.2192592501564321</v>
      </c>
      <c r="N12" s="3">
        <f t="shared" si="8"/>
        <v>2.2192592501564321</v>
      </c>
    </row>
    <row r="13" spans="1:18" ht="15.8" x14ac:dyDescent="0.25">
      <c r="A13" s="7">
        <v>44713</v>
      </c>
      <c r="B13" s="6">
        <v>35112.6</v>
      </c>
      <c r="C13" s="6">
        <f t="shared" si="0"/>
        <v>33961.5</v>
      </c>
      <c r="D13" s="6">
        <f t="shared" si="0"/>
        <v>36164.666666666664</v>
      </c>
      <c r="E13" s="6">
        <f t="shared" si="1"/>
        <v>31758.333333333336</v>
      </c>
      <c r="F13" s="6">
        <f t="shared" si="2"/>
        <v>-2203.1666666666642</v>
      </c>
      <c r="G13" s="6">
        <f t="shared" si="3"/>
        <v>28300.077777777791</v>
      </c>
      <c r="H13" s="3">
        <f t="shared" si="9"/>
        <v>6812.5222222222073</v>
      </c>
      <c r="I13" s="3">
        <f t="shared" si="4"/>
        <v>28828.688888888901</v>
      </c>
      <c r="J13" s="3">
        <f t="shared" si="5"/>
        <v>6283.9111111110979</v>
      </c>
      <c r="K13" s="3">
        <f t="shared" si="6"/>
        <v>46410459.028271399</v>
      </c>
      <c r="L13" s="3">
        <v>6812.5222222222073</v>
      </c>
      <c r="M13" s="3">
        <f t="shared" si="7"/>
        <v>19.401930424469302</v>
      </c>
      <c r="N13" s="3">
        <f t="shared" si="8"/>
        <v>19.401930424469302</v>
      </c>
    </row>
    <row r="14" spans="1:18" ht="16.3" x14ac:dyDescent="0.25">
      <c r="A14" s="7">
        <v>44743</v>
      </c>
      <c r="B14" s="6">
        <v>34621.800000000003</v>
      </c>
      <c r="C14" s="6">
        <f t="shared" si="0"/>
        <v>33694.033333333333</v>
      </c>
      <c r="D14" s="6">
        <f t="shared" si="0"/>
        <v>34899.888888888891</v>
      </c>
      <c r="E14" s="6">
        <f t="shared" si="1"/>
        <v>32488.177777777775</v>
      </c>
      <c r="F14" s="6">
        <f t="shared" si="2"/>
        <v>-1205.8555555555577</v>
      </c>
      <c r="G14" s="6">
        <f t="shared" si="3"/>
        <v>29555.166666666672</v>
      </c>
      <c r="H14" s="3">
        <f t="shared" si="9"/>
        <v>5066.6333333333314</v>
      </c>
      <c r="I14" s="3">
        <f t="shared" si="4"/>
        <v>30083.777777777781</v>
      </c>
      <c r="J14" s="3">
        <f t="shared" si="5"/>
        <v>4538.0222222222219</v>
      </c>
      <c r="K14" s="3">
        <f t="shared" si="6"/>
        <v>25670773.334444426</v>
      </c>
      <c r="L14" s="3">
        <v>5066.6333333333314</v>
      </c>
      <c r="M14" s="3">
        <f t="shared" si="7"/>
        <v>14.634228530386437</v>
      </c>
      <c r="N14" s="3">
        <f t="shared" si="8"/>
        <v>14.634228530386437</v>
      </c>
    </row>
    <row r="15" spans="1:18" ht="16.3" x14ac:dyDescent="0.25">
      <c r="A15" s="7">
        <v>44774</v>
      </c>
      <c r="B15" s="6">
        <v>34770.1</v>
      </c>
      <c r="C15" s="6">
        <f t="shared" si="0"/>
        <v>34094.76666666667</v>
      </c>
      <c r="D15" s="6">
        <f t="shared" si="0"/>
        <v>34059.455555555556</v>
      </c>
      <c r="E15" s="6">
        <f t="shared" si="1"/>
        <v>34130.077777777784</v>
      </c>
      <c r="F15" s="6">
        <f t="shared" si="2"/>
        <v>35.31111111111386</v>
      </c>
      <c r="G15" s="6">
        <f t="shared" si="3"/>
        <v>31282.322222222218</v>
      </c>
      <c r="H15" s="3">
        <f t="shared" si="9"/>
        <v>3487.777777777781</v>
      </c>
      <c r="I15" s="3">
        <f t="shared" si="4"/>
        <v>31810.933333333327</v>
      </c>
      <c r="J15" s="3">
        <f t="shared" si="5"/>
        <v>2959.1666666666715</v>
      </c>
      <c r="K15" s="3">
        <f t="shared" si="6"/>
        <v>12164593.827160517</v>
      </c>
      <c r="L15" s="3">
        <v>3487.777777777781</v>
      </c>
      <c r="M15" s="3">
        <f t="shared" si="7"/>
        <v>10.030968498157272</v>
      </c>
      <c r="N15" s="3">
        <f t="shared" si="8"/>
        <v>10.030968498157272</v>
      </c>
    </row>
    <row r="16" spans="1:18" ht="16.3" x14ac:dyDescent="0.25">
      <c r="A16" s="7">
        <v>44805</v>
      </c>
      <c r="B16" s="6">
        <v>33953.300000000003</v>
      </c>
      <c r="C16" s="6">
        <f t="shared" si="0"/>
        <v>34834.833333333336</v>
      </c>
      <c r="D16" s="6">
        <f t="shared" si="0"/>
        <v>33916.766666666663</v>
      </c>
      <c r="E16" s="6">
        <f t="shared" si="1"/>
        <v>35752.900000000009</v>
      </c>
      <c r="F16" s="6">
        <f t="shared" si="2"/>
        <v>918.06666666667297</v>
      </c>
      <c r="G16" s="6">
        <f t="shared" si="3"/>
        <v>34165.388888888898</v>
      </c>
      <c r="H16" s="3">
        <f t="shared" si="9"/>
        <v>-212.08888888889487</v>
      </c>
      <c r="I16" s="3">
        <f t="shared" si="4"/>
        <v>34694.000000000007</v>
      </c>
      <c r="J16" s="3">
        <f t="shared" si="5"/>
        <v>-740.70000000000437</v>
      </c>
      <c r="K16" s="3">
        <f t="shared" si="6"/>
        <v>44981.696790125992</v>
      </c>
      <c r="L16" s="3">
        <v>212.08888888889487</v>
      </c>
      <c r="M16" s="3">
        <f t="shared" si="7"/>
        <v>-0.62464882320391502</v>
      </c>
      <c r="N16" s="3">
        <f t="shared" si="8"/>
        <v>0.62464882320391502</v>
      </c>
    </row>
    <row r="17" spans="1:14" ht="16.3" x14ac:dyDescent="0.25">
      <c r="A17" s="7">
        <v>44835</v>
      </c>
      <c r="B17" s="6">
        <v>26416.799999999999</v>
      </c>
      <c r="C17" s="6">
        <f t="shared" si="0"/>
        <v>34448.400000000001</v>
      </c>
      <c r="D17" s="6">
        <f t="shared" si="0"/>
        <v>34207.87777777778</v>
      </c>
      <c r="E17" s="6">
        <f t="shared" si="1"/>
        <v>34688.922222222223</v>
      </c>
      <c r="F17" s="6">
        <f t="shared" si="2"/>
        <v>240.5222222222219</v>
      </c>
      <c r="G17" s="6">
        <f t="shared" si="3"/>
        <v>36670.966666666682</v>
      </c>
      <c r="H17" s="3">
        <f t="shared" si="9"/>
        <v>-10254.166666666682</v>
      </c>
      <c r="I17" s="3">
        <f t="shared" si="4"/>
        <v>37199.577777777791</v>
      </c>
      <c r="J17" s="3">
        <f t="shared" si="5"/>
        <v>-10782.777777777792</v>
      </c>
      <c r="K17" s="3">
        <f t="shared" si="6"/>
        <v>105147934.0277781</v>
      </c>
      <c r="L17" s="3">
        <v>10254.166666666682</v>
      </c>
      <c r="M17" s="3">
        <f t="shared" si="7"/>
        <v>-38.816838779362691</v>
      </c>
      <c r="N17" s="3">
        <f t="shared" si="8"/>
        <v>38.816838779362691</v>
      </c>
    </row>
    <row r="18" spans="1:14" ht="16.3" x14ac:dyDescent="0.25">
      <c r="A18" s="7">
        <v>44866</v>
      </c>
      <c r="B18" s="6">
        <v>28485.3</v>
      </c>
      <c r="C18" s="6">
        <f t="shared" si="0"/>
        <v>31713.399999999998</v>
      </c>
      <c r="D18" s="6">
        <f t="shared" si="0"/>
        <v>34459.333333333336</v>
      </c>
      <c r="E18" s="6">
        <f t="shared" si="1"/>
        <v>28967.46666666666</v>
      </c>
      <c r="F18" s="6">
        <f t="shared" si="2"/>
        <v>-2745.9333333333379</v>
      </c>
      <c r="G18" s="6">
        <f t="shared" si="3"/>
        <v>34929.444444444445</v>
      </c>
      <c r="H18" s="3">
        <f t="shared" si="9"/>
        <v>-6444.144444444446</v>
      </c>
      <c r="I18" s="3">
        <f t="shared" si="4"/>
        <v>35458.055555555555</v>
      </c>
      <c r="J18" s="3">
        <f t="shared" si="5"/>
        <v>-6972.7555555555555</v>
      </c>
      <c r="K18" s="3">
        <f t="shared" si="6"/>
        <v>41526997.62086422</v>
      </c>
      <c r="L18" s="3">
        <v>6444.144444444446</v>
      </c>
      <c r="M18" s="3">
        <f t="shared" si="7"/>
        <v>-22.622701689799463</v>
      </c>
      <c r="N18" s="3">
        <f t="shared" si="8"/>
        <v>22.622701689799463</v>
      </c>
    </row>
    <row r="19" spans="1:14" ht="16.3" x14ac:dyDescent="0.25">
      <c r="A19" s="7">
        <v>44896</v>
      </c>
      <c r="B19" s="6">
        <v>26334.9</v>
      </c>
      <c r="C19" s="6">
        <f t="shared" si="0"/>
        <v>29618.466666666671</v>
      </c>
      <c r="D19" s="6">
        <f t="shared" si="0"/>
        <v>33665.544444444444</v>
      </c>
      <c r="E19" s="6">
        <f t="shared" si="1"/>
        <v>25571.388888888898</v>
      </c>
      <c r="F19" s="6">
        <f t="shared" si="2"/>
        <v>-4047.077777777773</v>
      </c>
      <c r="G19" s="6">
        <f t="shared" si="3"/>
        <v>26221.533333333322</v>
      </c>
      <c r="H19" s="3">
        <f t="shared" si="9"/>
        <v>113.36666666667952</v>
      </c>
      <c r="I19" s="3">
        <f t="shared" si="4"/>
        <v>26750.144444444435</v>
      </c>
      <c r="J19" s="3">
        <f t="shared" si="5"/>
        <v>-415.24444444443361</v>
      </c>
      <c r="K19" s="3">
        <f t="shared" si="6"/>
        <v>12852.001111114025</v>
      </c>
      <c r="L19" s="3">
        <v>113.36666666667952</v>
      </c>
      <c r="M19" s="3">
        <f t="shared" si="7"/>
        <v>0.43048071823579931</v>
      </c>
      <c r="N19" s="3">
        <f t="shared" si="8"/>
        <v>0.43048071823579931</v>
      </c>
    </row>
    <row r="20" spans="1:14" ht="16.3" x14ac:dyDescent="0.25">
      <c r="A20" s="7">
        <v>44927</v>
      </c>
      <c r="B20" s="6">
        <v>27844.7</v>
      </c>
      <c r="C20" s="6">
        <f t="shared" si="0"/>
        <v>27079</v>
      </c>
      <c r="D20" s="6">
        <f t="shared" si="0"/>
        <v>31926.755555555559</v>
      </c>
      <c r="E20" s="6">
        <f t="shared" si="1"/>
        <v>22231.244444444441</v>
      </c>
      <c r="F20" s="6">
        <f t="shared" si="2"/>
        <v>-4847.7555555555591</v>
      </c>
      <c r="G20" s="6">
        <f t="shared" si="3"/>
        <v>21524.311111111125</v>
      </c>
      <c r="H20" s="3">
        <f t="shared" si="9"/>
        <v>6320.388888888876</v>
      </c>
      <c r="I20" s="3">
        <f t="shared" si="4"/>
        <v>22052.922222222238</v>
      </c>
      <c r="J20" s="3">
        <f t="shared" si="5"/>
        <v>5791.7777777777628</v>
      </c>
      <c r="K20" s="3">
        <f t="shared" si="6"/>
        <v>39947315.706789963</v>
      </c>
      <c r="L20" s="3">
        <v>6320.388888888876</v>
      </c>
      <c r="M20" s="3">
        <f t="shared" si="7"/>
        <v>22.698714257610515</v>
      </c>
      <c r="N20" s="3">
        <f t="shared" si="8"/>
        <v>22.698714257610515</v>
      </c>
    </row>
    <row r="21" spans="1:14" ht="16.3" x14ac:dyDescent="0.25">
      <c r="A21" s="7">
        <v>44958</v>
      </c>
      <c r="B21" s="6">
        <v>27601.1</v>
      </c>
      <c r="C21" s="6">
        <f t="shared" si="0"/>
        <v>27554.966666666664</v>
      </c>
      <c r="D21" s="6">
        <f t="shared" si="0"/>
        <v>29470.288888888888</v>
      </c>
      <c r="E21" s="6">
        <f t="shared" si="1"/>
        <v>25639.644444444439</v>
      </c>
      <c r="F21" s="6">
        <f t="shared" si="2"/>
        <v>-1915.3222222222248</v>
      </c>
      <c r="G21" s="6">
        <f t="shared" si="3"/>
        <v>17383.488888888882</v>
      </c>
      <c r="H21" s="3">
        <f t="shared" si="9"/>
        <v>10217.611111111117</v>
      </c>
      <c r="I21" s="3">
        <f t="shared" si="4"/>
        <v>17912.099999999991</v>
      </c>
      <c r="J21" s="3">
        <f t="shared" si="5"/>
        <v>9689.0000000000073</v>
      </c>
      <c r="K21" s="3">
        <f t="shared" si="6"/>
        <v>104399576.81790134</v>
      </c>
      <c r="L21" s="3">
        <v>10217.611111111117</v>
      </c>
      <c r="M21" s="3">
        <f t="shared" si="7"/>
        <v>37.018854723583907</v>
      </c>
      <c r="N21" s="3">
        <f t="shared" si="8"/>
        <v>37.018854723583907</v>
      </c>
    </row>
    <row r="22" spans="1:14" ht="16.3" x14ac:dyDescent="0.25">
      <c r="A22" s="7">
        <v>44986</v>
      </c>
      <c r="B22" s="6">
        <v>28988.1</v>
      </c>
      <c r="C22" s="6">
        <f t="shared" si="0"/>
        <v>27260.233333333337</v>
      </c>
      <c r="D22" s="6">
        <f t="shared" si="0"/>
        <v>28084.144444444446</v>
      </c>
      <c r="E22" s="6">
        <f t="shared" si="1"/>
        <v>26436.322222222228</v>
      </c>
      <c r="F22" s="6">
        <f t="shared" si="2"/>
        <v>-823.91111111110877</v>
      </c>
      <c r="G22" s="6">
        <f t="shared" si="3"/>
        <v>23724.322222222214</v>
      </c>
      <c r="H22" s="3">
        <f t="shared" si="9"/>
        <v>5263.7777777777846</v>
      </c>
      <c r="I22" s="3">
        <f t="shared" si="4"/>
        <v>24252.933333333327</v>
      </c>
      <c r="J22" s="3">
        <f t="shared" si="5"/>
        <v>4735.1666666666715</v>
      </c>
      <c r="K22" s="3">
        <f t="shared" si="6"/>
        <v>27707356.493827231</v>
      </c>
      <c r="L22" s="3">
        <v>5263.7777777777846</v>
      </c>
      <c r="M22" s="3">
        <f t="shared" si="7"/>
        <v>18.158409063642615</v>
      </c>
      <c r="N22" s="3">
        <f t="shared" si="8"/>
        <v>18.158409063642615</v>
      </c>
    </row>
    <row r="23" spans="1:14" ht="16.3" x14ac:dyDescent="0.25">
      <c r="A23" s="7">
        <v>45017</v>
      </c>
      <c r="B23" s="6">
        <v>26906.9</v>
      </c>
      <c r="C23" s="6">
        <f t="shared" si="0"/>
        <v>28144.633333333331</v>
      </c>
      <c r="D23" s="6">
        <f t="shared" si="0"/>
        <v>27298.066666666666</v>
      </c>
      <c r="E23" s="6">
        <f t="shared" si="1"/>
        <v>28991.199999999997</v>
      </c>
      <c r="F23" s="6">
        <f t="shared" si="2"/>
        <v>846.5666666666657</v>
      </c>
      <c r="G23" s="6">
        <f t="shared" si="3"/>
        <v>25612.41111111112</v>
      </c>
      <c r="H23" s="3">
        <f t="shared" si="9"/>
        <v>1294.4888888888818</v>
      </c>
      <c r="I23" s="3">
        <f t="shared" si="4"/>
        <v>26141.022222222229</v>
      </c>
      <c r="J23" s="3">
        <f t="shared" si="5"/>
        <v>765.87777777777228</v>
      </c>
      <c r="K23" s="3">
        <f t="shared" si="6"/>
        <v>1675701.4834567718</v>
      </c>
      <c r="L23" s="3">
        <v>1294.4888888888818</v>
      </c>
      <c r="M23" s="3">
        <f t="shared" si="7"/>
        <v>4.8109923063930875</v>
      </c>
      <c r="N23" s="3">
        <f t="shared" si="8"/>
        <v>4.8109923063930875</v>
      </c>
    </row>
    <row r="24" spans="1:14" ht="16.3" x14ac:dyDescent="0.25">
      <c r="A24" s="7">
        <v>45047</v>
      </c>
      <c r="B24" s="6">
        <v>30363.1</v>
      </c>
      <c r="C24" s="6">
        <f t="shared" si="0"/>
        <v>27832.033333333336</v>
      </c>
      <c r="D24" s="6">
        <f t="shared" si="0"/>
        <v>27653.277777777777</v>
      </c>
      <c r="E24" s="6">
        <f t="shared" si="1"/>
        <v>28010.788888888896</v>
      </c>
      <c r="F24" s="6">
        <f t="shared" si="2"/>
        <v>178.75555555555911</v>
      </c>
      <c r="G24" s="6">
        <f t="shared" si="3"/>
        <v>29837.766666666663</v>
      </c>
      <c r="H24" s="3">
        <f t="shared" si="9"/>
        <v>525.33333333333576</v>
      </c>
      <c r="I24" s="3">
        <f t="shared" si="4"/>
        <v>30366.377777777772</v>
      </c>
      <c r="J24" s="3">
        <f t="shared" si="5"/>
        <v>-3.2777777777737356</v>
      </c>
      <c r="K24" s="3">
        <f t="shared" si="6"/>
        <v>275975.11111111369</v>
      </c>
      <c r="L24" s="3">
        <v>525.33333333333576</v>
      </c>
      <c r="M24" s="3">
        <f t="shared" si="7"/>
        <v>1.7301702834471306</v>
      </c>
      <c r="N24" s="3">
        <f t="shared" si="8"/>
        <v>1.7301702834471306</v>
      </c>
    </row>
    <row r="25" spans="1:14" ht="16.3" x14ac:dyDescent="0.25">
      <c r="A25" s="7">
        <v>45078</v>
      </c>
      <c r="B25" s="6">
        <v>32034.2</v>
      </c>
      <c r="C25" s="6">
        <f t="shared" si="0"/>
        <v>28752.7</v>
      </c>
      <c r="D25" s="6">
        <f t="shared" si="0"/>
        <v>27745.633333333335</v>
      </c>
      <c r="E25" s="6">
        <f t="shared" si="1"/>
        <v>29759.766666666666</v>
      </c>
      <c r="F25" s="6">
        <f t="shared" si="2"/>
        <v>1007.0666666666657</v>
      </c>
      <c r="G25" s="6">
        <f t="shared" si="3"/>
        <v>28189.544444444455</v>
      </c>
      <c r="H25" s="3">
        <f t="shared" si="9"/>
        <v>3844.655555555546</v>
      </c>
      <c r="I25" s="3">
        <f t="shared" si="4"/>
        <v>28718.155555555568</v>
      </c>
      <c r="J25" s="3">
        <f t="shared" si="5"/>
        <v>3316.0444444444329</v>
      </c>
      <c r="K25" s="3">
        <f t="shared" si="6"/>
        <v>14781376.340864124</v>
      </c>
      <c r="L25" s="3">
        <v>3844.655555555546</v>
      </c>
      <c r="M25" s="3">
        <f t="shared" si="7"/>
        <v>12.001721770968359</v>
      </c>
      <c r="N25" s="3">
        <f t="shared" si="8"/>
        <v>12.001721770968359</v>
      </c>
    </row>
    <row r="26" spans="1:14" ht="16.3" x14ac:dyDescent="0.25">
      <c r="A26" s="7">
        <v>45108</v>
      </c>
      <c r="B26" s="6">
        <v>28753.200000000001</v>
      </c>
      <c r="C26" s="6">
        <f t="shared" si="0"/>
        <v>29768.066666666666</v>
      </c>
      <c r="D26" s="6">
        <f t="shared" si="0"/>
        <v>28243.122222222224</v>
      </c>
      <c r="E26" s="6">
        <f t="shared" si="1"/>
        <v>31293.011111111107</v>
      </c>
      <c r="F26" s="6">
        <f t="shared" si="2"/>
        <v>1524.9444444444416</v>
      </c>
      <c r="G26" s="6">
        <f t="shared" si="3"/>
        <v>30766.833333333332</v>
      </c>
      <c r="H26" s="3">
        <f t="shared" si="9"/>
        <v>-2013.6333333333314</v>
      </c>
      <c r="I26" s="3">
        <f t="shared" si="4"/>
        <v>31295.444444444445</v>
      </c>
      <c r="J26" s="3">
        <f t="shared" si="5"/>
        <v>-2542.2444444444445</v>
      </c>
      <c r="K26" s="3">
        <f t="shared" si="6"/>
        <v>4054719.2011111034</v>
      </c>
      <c r="L26" s="3">
        <v>2013.6333333333314</v>
      </c>
      <c r="M26" s="3">
        <f t="shared" si="7"/>
        <v>-7.0031625465455365</v>
      </c>
      <c r="N26" s="3">
        <f t="shared" si="8"/>
        <v>7.0031625465455365</v>
      </c>
    </row>
    <row r="27" spans="1:14" ht="16.3" x14ac:dyDescent="0.25">
      <c r="A27" s="7">
        <v>45139</v>
      </c>
      <c r="B27" s="6">
        <v>25975</v>
      </c>
      <c r="C27" s="6">
        <f t="shared" si="0"/>
        <v>30383.5</v>
      </c>
      <c r="D27" s="6">
        <f t="shared" si="0"/>
        <v>28784.266666666666</v>
      </c>
      <c r="E27" s="6">
        <f t="shared" si="1"/>
        <v>31982.733333333334</v>
      </c>
      <c r="F27" s="6">
        <f t="shared" si="2"/>
        <v>1599.2333333333336</v>
      </c>
      <c r="G27" s="6">
        <f t="shared" si="3"/>
        <v>32817.955555555549</v>
      </c>
      <c r="H27" s="3">
        <f t="shared" si="9"/>
        <v>-6842.9555555555489</v>
      </c>
      <c r="I27" s="3">
        <f t="shared" si="4"/>
        <v>33346.566666666658</v>
      </c>
      <c r="J27" s="3">
        <f t="shared" si="5"/>
        <v>-7371.5666666666584</v>
      </c>
      <c r="K27" s="3">
        <f t="shared" si="6"/>
        <v>46826040.73530855</v>
      </c>
      <c r="L27" s="3">
        <v>6842.9555555555489</v>
      </c>
      <c r="M27" s="3">
        <f t="shared" si="7"/>
        <v>-26.344390974227327</v>
      </c>
      <c r="N27" s="3">
        <f t="shared" si="8"/>
        <v>26.344390974227327</v>
      </c>
    </row>
    <row r="28" spans="1:14" ht="16.3" x14ac:dyDescent="0.25">
      <c r="A28" s="7">
        <v>45170</v>
      </c>
      <c r="B28" s="6">
        <v>27143.200000000001</v>
      </c>
      <c r="C28" s="6">
        <f t="shared" si="0"/>
        <v>28920.799999999999</v>
      </c>
      <c r="D28" s="6">
        <f t="shared" si="0"/>
        <v>29634.755555555555</v>
      </c>
      <c r="E28" s="6">
        <f t="shared" si="1"/>
        <v>28206.844444444443</v>
      </c>
      <c r="F28" s="6">
        <f t="shared" si="2"/>
        <v>-713.9555555555562</v>
      </c>
      <c r="G28" s="6">
        <f t="shared" si="3"/>
        <v>33581.966666666667</v>
      </c>
      <c r="H28" s="3">
        <f t="shared" si="9"/>
        <v>-6438.7666666666664</v>
      </c>
      <c r="I28" s="3">
        <f t="shared" si="4"/>
        <v>34110.577777777777</v>
      </c>
      <c r="J28" s="3">
        <f t="shared" si="5"/>
        <v>-6967.3777777777759</v>
      </c>
      <c r="K28" s="3">
        <f t="shared" si="6"/>
        <v>41457716.187777773</v>
      </c>
      <c r="L28" s="3">
        <v>6438.7666666666664</v>
      </c>
      <c r="M28" s="3">
        <f t="shared" si="7"/>
        <v>-23.721472290174578</v>
      </c>
      <c r="N28" s="3">
        <f t="shared" si="8"/>
        <v>23.721472290174578</v>
      </c>
    </row>
    <row r="29" spans="1:14" ht="16.3" x14ac:dyDescent="0.25">
      <c r="A29" s="7">
        <v>45200</v>
      </c>
      <c r="B29" s="6">
        <v>24166.1</v>
      </c>
      <c r="C29" s="6">
        <f t="shared" si="0"/>
        <v>27290.466666666664</v>
      </c>
      <c r="D29" s="6">
        <f t="shared" si="0"/>
        <v>29690.788888888888</v>
      </c>
      <c r="E29" s="6">
        <f t="shared" si="1"/>
        <v>24890.144444444439</v>
      </c>
      <c r="F29" s="6">
        <f t="shared" si="2"/>
        <v>-2400.3222222222248</v>
      </c>
      <c r="G29" s="6">
        <f t="shared" si="3"/>
        <v>27492.888888888887</v>
      </c>
      <c r="H29" s="3">
        <f t="shared" si="9"/>
        <v>-3326.7888888888883</v>
      </c>
      <c r="I29" s="3">
        <f t="shared" si="4"/>
        <v>28021.5</v>
      </c>
      <c r="J29" s="3">
        <f t="shared" si="5"/>
        <v>-3855.4000000000015</v>
      </c>
      <c r="K29" s="3">
        <f t="shared" si="6"/>
        <v>11067524.311234564</v>
      </c>
      <c r="L29" s="3">
        <v>3326.7888888888883</v>
      </c>
      <c r="M29" s="3">
        <f t="shared" si="7"/>
        <v>-13.76634578557934</v>
      </c>
      <c r="N29" s="3">
        <f t="shared" si="8"/>
        <v>13.76634578557934</v>
      </c>
    </row>
    <row r="30" spans="1:14" ht="16.3" x14ac:dyDescent="0.25">
      <c r="A30" s="7">
        <v>45231</v>
      </c>
      <c r="B30" s="6">
        <v>22756.5</v>
      </c>
      <c r="C30" s="6">
        <f t="shared" si="0"/>
        <v>25761.433333333331</v>
      </c>
      <c r="D30" s="6">
        <f t="shared" si="0"/>
        <v>28864.92222222222</v>
      </c>
      <c r="E30" s="6">
        <f t="shared" si="1"/>
        <v>22657.944444444442</v>
      </c>
      <c r="F30" s="6">
        <f t="shared" si="2"/>
        <v>-3103.4888888888891</v>
      </c>
      <c r="G30" s="6">
        <f t="shared" si="3"/>
        <v>22489.822222222214</v>
      </c>
      <c r="H30" s="3">
        <f t="shared" si="9"/>
        <v>266.6777777777861</v>
      </c>
      <c r="I30" s="3">
        <f t="shared" si="4"/>
        <v>23018.433333333327</v>
      </c>
      <c r="J30" s="3">
        <f t="shared" si="5"/>
        <v>-261.93333333332703</v>
      </c>
      <c r="K30" s="3">
        <f t="shared" si="6"/>
        <v>71117.037160498265</v>
      </c>
      <c r="L30" s="3">
        <v>266.6777777777861</v>
      </c>
      <c r="M30" s="3">
        <f t="shared" si="7"/>
        <v>1.171875190726984</v>
      </c>
      <c r="N30" s="3">
        <f t="shared" si="8"/>
        <v>1.171875190726984</v>
      </c>
    </row>
    <row r="31" spans="1:14" ht="16.3" x14ac:dyDescent="0.25">
      <c r="A31" s="7">
        <v>45261</v>
      </c>
      <c r="B31" s="6">
        <v>27706.400000000001</v>
      </c>
      <c r="C31" s="6">
        <f t="shared" si="0"/>
        <v>24688.600000000002</v>
      </c>
      <c r="D31" s="6">
        <f t="shared" si="0"/>
        <v>27324.233333333334</v>
      </c>
      <c r="E31" s="6">
        <f t="shared" si="1"/>
        <v>22052.966666666671</v>
      </c>
      <c r="F31" s="6">
        <f t="shared" si="2"/>
        <v>-2635.6333333333314</v>
      </c>
      <c r="G31" s="6">
        <f t="shared" si="3"/>
        <v>19554.455555555553</v>
      </c>
      <c r="H31" s="3">
        <f t="shared" si="9"/>
        <v>8151.9444444444489</v>
      </c>
      <c r="I31" s="3">
        <f t="shared" si="4"/>
        <v>20083.066666666666</v>
      </c>
      <c r="J31" s="3">
        <f t="shared" si="5"/>
        <v>7623.3333333333358</v>
      </c>
      <c r="K31" s="3">
        <f t="shared" si="6"/>
        <v>66454198.225308716</v>
      </c>
      <c r="L31" s="3">
        <v>8151.9444444444489</v>
      </c>
      <c r="M31" s="3">
        <f t="shared" si="7"/>
        <v>29.422604324071148</v>
      </c>
      <c r="N31" s="3">
        <f t="shared" si="8"/>
        <v>29.422604324071148</v>
      </c>
    </row>
    <row r="32" spans="1:14" ht="16.3" x14ac:dyDescent="0.25">
      <c r="A32" s="7">
        <v>45292</v>
      </c>
      <c r="B32" s="6">
        <v>27323.5</v>
      </c>
      <c r="C32" s="6">
        <f t="shared" si="0"/>
        <v>24876.333333333332</v>
      </c>
      <c r="D32" s="6">
        <f t="shared" si="0"/>
        <v>25913.5</v>
      </c>
      <c r="E32" s="6">
        <f t="shared" si="1"/>
        <v>23839.166666666664</v>
      </c>
      <c r="F32" s="6">
        <f t="shared" si="2"/>
        <v>-1037.1666666666679</v>
      </c>
      <c r="G32" s="6">
        <f t="shared" si="3"/>
        <v>19417.333333333339</v>
      </c>
      <c r="H32" s="3">
        <f t="shared" si="9"/>
        <v>7906.1666666666606</v>
      </c>
      <c r="I32" s="3">
        <f t="shared" si="4"/>
        <v>19945.944444444453</v>
      </c>
      <c r="J32" s="3">
        <f t="shared" si="5"/>
        <v>7377.5555555555475</v>
      </c>
      <c r="K32" s="3">
        <f t="shared" si="6"/>
        <v>62507471.361111015</v>
      </c>
      <c r="L32" s="3">
        <v>7906.1666666666606</v>
      </c>
      <c r="M32" s="3">
        <f t="shared" si="7"/>
        <v>28.935409690071406</v>
      </c>
      <c r="N32" s="3">
        <f t="shared" si="8"/>
        <v>28.935409690071406</v>
      </c>
    </row>
    <row r="33" spans="1:14" ht="16.3" x14ac:dyDescent="0.25">
      <c r="A33" s="7">
        <v>45323</v>
      </c>
      <c r="B33" s="6">
        <v>24273</v>
      </c>
      <c r="C33" s="6">
        <f t="shared" si="0"/>
        <v>25928.799999999999</v>
      </c>
      <c r="D33" s="6">
        <f t="shared" si="0"/>
        <v>25108.788888888888</v>
      </c>
      <c r="E33" s="6">
        <f t="shared" si="1"/>
        <v>26748.81111111111</v>
      </c>
      <c r="F33" s="6">
        <f t="shared" si="2"/>
        <v>820.01111111111095</v>
      </c>
      <c r="G33" s="6">
        <f t="shared" si="3"/>
        <v>22801.999999999996</v>
      </c>
      <c r="H33" s="3">
        <f t="shared" si="9"/>
        <v>1471.0000000000036</v>
      </c>
      <c r="I33" s="3">
        <f t="shared" si="4"/>
        <v>23330.611111111109</v>
      </c>
      <c r="J33" s="3">
        <f t="shared" si="5"/>
        <v>942.38888888889051</v>
      </c>
      <c r="K33" s="3">
        <f t="shared" si="6"/>
        <v>2163841.0000000107</v>
      </c>
      <c r="L33" s="3">
        <v>1471.0000000000036</v>
      </c>
      <c r="M33" s="3">
        <f t="shared" si="7"/>
        <v>6.0602315329790448</v>
      </c>
      <c r="N33" s="3">
        <f t="shared" si="8"/>
        <v>6.0602315329790448</v>
      </c>
    </row>
    <row r="34" spans="1:14" ht="16.3" x14ac:dyDescent="0.25">
      <c r="A34" s="7">
        <v>45352</v>
      </c>
      <c r="B34" s="6">
        <v>21821.9</v>
      </c>
      <c r="C34" s="6">
        <f t="shared" si="0"/>
        <v>26434.3</v>
      </c>
      <c r="D34" s="6">
        <f t="shared" si="0"/>
        <v>25164.57777777778</v>
      </c>
      <c r="E34" s="6">
        <f t="shared" si="1"/>
        <v>27704.022222222218</v>
      </c>
      <c r="F34" s="6">
        <f t="shared" si="2"/>
        <v>1269.722222222219</v>
      </c>
      <c r="G34" s="6">
        <f t="shared" si="3"/>
        <v>27568.822222222221</v>
      </c>
      <c r="H34" s="3">
        <f t="shared" si="9"/>
        <v>-5746.9222222222197</v>
      </c>
      <c r="I34" s="3">
        <f t="shared" si="4"/>
        <v>28097.433333333334</v>
      </c>
      <c r="J34" s="3">
        <f t="shared" si="5"/>
        <v>-6275.5333333333328</v>
      </c>
      <c r="K34" s="3">
        <f t="shared" si="6"/>
        <v>33027115.028271575</v>
      </c>
      <c r="L34" s="3">
        <v>5746.9222222222197</v>
      </c>
      <c r="M34" s="3">
        <f t="shared" si="7"/>
        <v>-26.335572164762095</v>
      </c>
      <c r="N34" s="3">
        <f t="shared" si="8"/>
        <v>26.335572164762095</v>
      </c>
    </row>
    <row r="35" spans="1:14" ht="16.3" x14ac:dyDescent="0.25">
      <c r="A35" s="7">
        <v>45383</v>
      </c>
      <c r="B35" s="6">
        <v>24698.6</v>
      </c>
      <c r="C35" s="6">
        <f t="shared" si="0"/>
        <v>24472.799999999999</v>
      </c>
      <c r="D35" s="6">
        <f t="shared" si="0"/>
        <v>25746.477777777778</v>
      </c>
      <c r="E35" s="6">
        <f t="shared" si="1"/>
        <v>23199.12222222222</v>
      </c>
      <c r="F35" s="6">
        <f t="shared" si="2"/>
        <v>-1273.6777777777788</v>
      </c>
      <c r="G35" s="6">
        <f t="shared" si="3"/>
        <v>28973.744444444437</v>
      </c>
      <c r="H35" s="3">
        <f t="shared" si="9"/>
        <v>-4275.1444444444387</v>
      </c>
      <c r="I35" s="3">
        <f t="shared" si="4"/>
        <v>29502.35555555555</v>
      </c>
      <c r="J35" s="3">
        <f t="shared" si="5"/>
        <v>-4803.7555555555518</v>
      </c>
      <c r="K35" s="3">
        <f t="shared" si="6"/>
        <v>18276860.020864148</v>
      </c>
      <c r="L35" s="3">
        <v>4275.1444444444387</v>
      </c>
      <c r="M35" s="3">
        <f t="shared" si="7"/>
        <v>-17.309258194571512</v>
      </c>
      <c r="N35" s="3">
        <f t="shared" si="8"/>
        <v>17.309258194571512</v>
      </c>
    </row>
    <row r="36" spans="1:14" ht="16.3" x14ac:dyDescent="0.25">
      <c r="A36" s="7">
        <v>45413</v>
      </c>
      <c r="B36" s="6">
        <v>26071.4</v>
      </c>
      <c r="C36" s="6">
        <f t="shared" si="0"/>
        <v>23597.833333333332</v>
      </c>
      <c r="D36" s="6">
        <f t="shared" si="0"/>
        <v>25611.966666666664</v>
      </c>
      <c r="E36" s="6">
        <f t="shared" si="1"/>
        <v>21583.7</v>
      </c>
      <c r="F36" s="6">
        <f t="shared" si="2"/>
        <v>-2014.1333333333314</v>
      </c>
      <c r="G36" s="6">
        <f t="shared" si="3"/>
        <v>21925.444444444442</v>
      </c>
      <c r="H36" s="3">
        <f t="shared" si="9"/>
        <v>4145.9555555555598</v>
      </c>
      <c r="I36" s="3">
        <f t="shared" si="4"/>
        <v>22454.055555555555</v>
      </c>
      <c r="J36" s="3">
        <f t="shared" si="5"/>
        <v>3617.3444444444467</v>
      </c>
      <c r="K36" s="3">
        <f t="shared" si="6"/>
        <v>17188947.468642011</v>
      </c>
      <c r="L36" s="3">
        <v>4145.9555555555598</v>
      </c>
      <c r="M36" s="3">
        <f t="shared" si="7"/>
        <v>15.902312708774977</v>
      </c>
      <c r="N36" s="3">
        <f t="shared" si="8"/>
        <v>15.902312708774977</v>
      </c>
    </row>
    <row r="37" spans="1:14" ht="16.3" x14ac:dyDescent="0.25">
      <c r="A37" s="7">
        <v>45444</v>
      </c>
      <c r="B37" s="6">
        <v>27516.6</v>
      </c>
      <c r="C37" s="6">
        <f t="shared" si="0"/>
        <v>24197.3</v>
      </c>
      <c r="D37" s="6">
        <f t="shared" si="0"/>
        <v>24834.977777777778</v>
      </c>
      <c r="E37" s="6">
        <f t="shared" si="1"/>
        <v>23559.62222222222</v>
      </c>
      <c r="F37" s="6">
        <f t="shared" si="2"/>
        <v>-637.67777777777883</v>
      </c>
      <c r="G37" s="6">
        <f t="shared" si="3"/>
        <v>19569.566666666669</v>
      </c>
      <c r="H37" s="3">
        <f t="shared" si="9"/>
        <v>7947.0333333333292</v>
      </c>
      <c r="I37" s="3">
        <f t="shared" si="4"/>
        <v>20098.177777777782</v>
      </c>
      <c r="J37" s="3">
        <f t="shared" si="5"/>
        <v>7418.4222222222161</v>
      </c>
      <c r="K37" s="3">
        <f t="shared" si="6"/>
        <v>63155338.801111042</v>
      </c>
      <c r="L37" s="3">
        <v>7947.0333333333292</v>
      </c>
      <c r="M37" s="3">
        <f t="shared" si="7"/>
        <v>28.88086948726707</v>
      </c>
      <c r="N37" s="3">
        <f t="shared" si="8"/>
        <v>28.88086948726707</v>
      </c>
    </row>
    <row r="38" spans="1:14" ht="16.3" x14ac:dyDescent="0.25">
      <c r="A38" s="7">
        <v>45474</v>
      </c>
      <c r="B38" s="6">
        <v>27316.7</v>
      </c>
      <c r="C38" s="6">
        <f t="shared" si="0"/>
        <v>26095.533333333336</v>
      </c>
      <c r="D38" s="6">
        <f t="shared" si="0"/>
        <v>24089.31111111111</v>
      </c>
      <c r="E38" s="6">
        <f t="shared" si="1"/>
        <v>28101.755555555563</v>
      </c>
      <c r="F38" s="6">
        <f t="shared" si="2"/>
        <v>2006.2222222222263</v>
      </c>
      <c r="G38" s="6">
        <f t="shared" si="3"/>
        <v>22921.944444444442</v>
      </c>
      <c r="H38" s="3">
        <f t="shared" si="9"/>
        <v>4394.7555555555591</v>
      </c>
      <c r="I38" s="3">
        <f t="shared" si="4"/>
        <v>23450.555555555555</v>
      </c>
      <c r="J38" s="3">
        <f t="shared" si="5"/>
        <v>3866.144444444446</v>
      </c>
      <c r="K38" s="3">
        <f t="shared" si="6"/>
        <v>19313876.393086452</v>
      </c>
      <c r="L38" s="3">
        <v>4394.7555555555591</v>
      </c>
      <c r="M38" s="3">
        <f t="shared" si="7"/>
        <v>16.088164220259252</v>
      </c>
      <c r="N38" s="3">
        <f t="shared" si="8"/>
        <v>16.088164220259252</v>
      </c>
    </row>
    <row r="39" spans="1:14" ht="16.3" x14ac:dyDescent="0.25">
      <c r="A39" s="7">
        <v>45505</v>
      </c>
      <c r="B39" s="6">
        <v>26052.9</v>
      </c>
      <c r="C39" s="6">
        <f t="shared" si="0"/>
        <v>26968.233333333334</v>
      </c>
      <c r="D39" s="6">
        <f t="shared" si="0"/>
        <v>24630.222222222223</v>
      </c>
      <c r="E39" s="6">
        <f t="shared" si="1"/>
        <v>29306.244444444445</v>
      </c>
      <c r="F39" s="6">
        <f t="shared" si="2"/>
        <v>2338.0111111111109</v>
      </c>
      <c r="G39" s="6">
        <f t="shared" si="3"/>
        <v>30107.977777777789</v>
      </c>
      <c r="H39" s="3">
        <f t="shared" si="9"/>
        <v>-4055.0777777777876</v>
      </c>
      <c r="I39" s="3">
        <f t="shared" si="4"/>
        <v>30636.588888888902</v>
      </c>
      <c r="J39" s="3">
        <f t="shared" si="5"/>
        <v>-4583.6888888889007</v>
      </c>
      <c r="K39" s="3">
        <f t="shared" si="6"/>
        <v>16443655.78382724</v>
      </c>
      <c r="L39" s="3">
        <v>4055.0777777777876</v>
      </c>
      <c r="M39" s="3">
        <f t="shared" si="7"/>
        <v>-15.564784641163889</v>
      </c>
      <c r="N39" s="3">
        <f t="shared" si="8"/>
        <v>15.564784641163889</v>
      </c>
    </row>
    <row r="40" spans="1:14" ht="16.3" x14ac:dyDescent="0.25">
      <c r="A40" s="7">
        <v>45536</v>
      </c>
      <c r="B40" s="6">
        <v>27472.6</v>
      </c>
      <c r="C40" s="6">
        <f t="shared" si="0"/>
        <v>26962.066666666669</v>
      </c>
      <c r="D40" s="6">
        <f t="shared" si="0"/>
        <v>25753.68888888889</v>
      </c>
      <c r="E40" s="6">
        <f t="shared" si="1"/>
        <v>28170.444444444449</v>
      </c>
      <c r="F40" s="6">
        <f t="shared" si="2"/>
        <v>1208.3777777777796</v>
      </c>
      <c r="G40" s="6">
        <f t="shared" si="3"/>
        <v>31644.255555555555</v>
      </c>
      <c r="H40" s="3">
        <f t="shared" si="9"/>
        <v>-4171.6555555555569</v>
      </c>
      <c r="I40" s="3">
        <f t="shared" si="4"/>
        <v>32172.866666666669</v>
      </c>
      <c r="J40" s="3">
        <f t="shared" si="5"/>
        <v>-4700.2666666666701</v>
      </c>
      <c r="K40" s="3">
        <f t="shared" si="6"/>
        <v>17402710.074197542</v>
      </c>
      <c r="L40" s="3">
        <v>4171.6555555555569</v>
      </c>
      <c r="M40" s="3">
        <f t="shared" si="7"/>
        <v>-15.184786134386833</v>
      </c>
      <c r="N40" s="3">
        <f t="shared" si="8"/>
        <v>15.184786134386833</v>
      </c>
    </row>
    <row r="41" spans="1:14" ht="16.3" x14ac:dyDescent="0.25">
      <c r="A41" s="7">
        <v>45566</v>
      </c>
      <c r="B41" s="6">
        <v>19272.7</v>
      </c>
      <c r="C41" s="6">
        <f t="shared" si="0"/>
        <v>26947.400000000005</v>
      </c>
      <c r="D41" s="6">
        <f t="shared" si="0"/>
        <v>26675.277777777781</v>
      </c>
      <c r="E41" s="6">
        <f t="shared" si="1"/>
        <v>27219.522222222229</v>
      </c>
      <c r="F41" s="6">
        <f t="shared" si="2"/>
        <v>272.12222222222408</v>
      </c>
      <c r="G41" s="6">
        <f t="shared" si="3"/>
        <v>29378.822222222228</v>
      </c>
      <c r="H41" s="3">
        <f t="shared" si="9"/>
        <v>-10106.122222222228</v>
      </c>
      <c r="I41" s="3">
        <f t="shared" si="4"/>
        <v>29907.433333333342</v>
      </c>
      <c r="J41" s="3">
        <f t="shared" si="5"/>
        <v>-10634.733333333341</v>
      </c>
      <c r="K41" s="3">
        <f t="shared" si="6"/>
        <v>102133706.37049393</v>
      </c>
      <c r="L41" s="3">
        <v>10106.122222222228</v>
      </c>
      <c r="M41" s="3">
        <f t="shared" si="7"/>
        <v>-52.437500828748576</v>
      </c>
      <c r="N41" s="3">
        <f t="shared" si="8"/>
        <v>52.437500828748576</v>
      </c>
    </row>
    <row r="42" spans="1:14" ht="16.3" x14ac:dyDescent="0.25">
      <c r="A42" s="7">
        <v>45597</v>
      </c>
      <c r="B42" s="6">
        <v>23276.2</v>
      </c>
      <c r="C42" s="6">
        <f t="shared" si="0"/>
        <v>24266.066666666666</v>
      </c>
      <c r="D42" s="6">
        <f t="shared" si="0"/>
        <v>26959.233333333337</v>
      </c>
      <c r="E42" s="6">
        <f t="shared" si="1"/>
        <v>21572.899999999994</v>
      </c>
      <c r="F42" s="6">
        <f t="shared" si="2"/>
        <v>-2693.1666666666715</v>
      </c>
      <c r="G42" s="6">
        <f t="shared" si="3"/>
        <v>27491.644444444453</v>
      </c>
      <c r="H42" s="3">
        <f t="shared" si="9"/>
        <v>-4215.4444444444525</v>
      </c>
      <c r="I42" s="3">
        <f t="shared" si="4"/>
        <v>28020.255555555566</v>
      </c>
      <c r="J42" s="3">
        <f t="shared" si="5"/>
        <v>-4744.0555555555657</v>
      </c>
      <c r="K42" s="3">
        <f t="shared" si="6"/>
        <v>17769971.864197601</v>
      </c>
      <c r="L42" s="3">
        <v>4215.4444444444525</v>
      </c>
      <c r="M42" s="3">
        <f t="shared" si="7"/>
        <v>-18.110535415765685</v>
      </c>
      <c r="N42" s="3">
        <f t="shared" si="8"/>
        <v>18.110535415765685</v>
      </c>
    </row>
    <row r="43" spans="1:14" ht="16.3" x14ac:dyDescent="0.25">
      <c r="A43" s="7">
        <v>45627</v>
      </c>
      <c r="B43" s="6">
        <v>25111</v>
      </c>
      <c r="C43" s="6">
        <f t="shared" si="0"/>
        <v>23340.5</v>
      </c>
      <c r="D43" s="6">
        <f t="shared" si="0"/>
        <v>26058.511111111115</v>
      </c>
      <c r="E43" s="6">
        <f t="shared" si="1"/>
        <v>20622.488888888885</v>
      </c>
      <c r="F43" s="6">
        <f t="shared" si="2"/>
        <v>-2718.0111111111146</v>
      </c>
      <c r="G43" s="6">
        <f t="shared" si="3"/>
        <v>18879.733333333323</v>
      </c>
      <c r="H43" s="3">
        <f t="shared" si="9"/>
        <v>6231.2666666666773</v>
      </c>
      <c r="I43" s="3">
        <f t="shared" si="4"/>
        <v>19408.344444444432</v>
      </c>
      <c r="J43" s="3">
        <f t="shared" si="5"/>
        <v>5702.6555555555678</v>
      </c>
      <c r="K43" s="3">
        <f t="shared" si="6"/>
        <v>38828684.271111242</v>
      </c>
      <c r="L43" s="3">
        <v>6231.2666666666773</v>
      </c>
      <c r="M43" s="3">
        <f t="shared" si="7"/>
        <v>24.814888561453856</v>
      </c>
      <c r="N43" s="3">
        <f t="shared" si="8"/>
        <v>24.814888561453856</v>
      </c>
    </row>
    <row r="44" spans="1:14" ht="16.3" x14ac:dyDescent="0.25">
      <c r="A44" s="7">
        <v>45658</v>
      </c>
      <c r="B44" s="6">
        <v>21198.400000000001</v>
      </c>
      <c r="C44" s="6">
        <f t="shared" si="0"/>
        <v>22553.3</v>
      </c>
      <c r="D44" s="6">
        <f t="shared" si="0"/>
        <v>24851.322222222225</v>
      </c>
      <c r="E44" s="6">
        <f t="shared" si="1"/>
        <v>20255.277777777774</v>
      </c>
      <c r="F44" s="6">
        <f t="shared" si="2"/>
        <v>-2298.0222222222255</v>
      </c>
      <c r="G44" s="6">
        <f t="shared" si="3"/>
        <v>17904.477777777771</v>
      </c>
      <c r="H44" s="3">
        <f t="shared" si="9"/>
        <v>3293.9222222222306</v>
      </c>
      <c r="I44" s="3">
        <f t="shared" si="4"/>
        <v>18433.08888888888</v>
      </c>
      <c r="J44" s="3">
        <f t="shared" si="5"/>
        <v>2765.3111111111211</v>
      </c>
      <c r="K44" s="3">
        <f t="shared" si="6"/>
        <v>10849923.606049439</v>
      </c>
      <c r="L44" s="3">
        <v>3293.9222222222306</v>
      </c>
      <c r="M44" s="3">
        <f t="shared" si="7"/>
        <v>15.538541692874134</v>
      </c>
      <c r="N44" s="3">
        <f t="shared" si="8"/>
        <v>15.538541692874134</v>
      </c>
    </row>
    <row r="45" spans="1:14" ht="16.3" x14ac:dyDescent="0.25">
      <c r="A45" s="7">
        <v>45689</v>
      </c>
      <c r="B45" s="6">
        <v>15355.3</v>
      </c>
      <c r="C45" s="6">
        <f t="shared" si="0"/>
        <v>23195.200000000001</v>
      </c>
      <c r="D45" s="6">
        <f t="shared" si="0"/>
        <v>23386.622222222224</v>
      </c>
      <c r="E45" s="6">
        <f t="shared" si="1"/>
        <v>23003.777777777777</v>
      </c>
      <c r="F45" s="6">
        <f t="shared" si="2"/>
        <v>-191.42222222222335</v>
      </c>
      <c r="G45" s="6">
        <f t="shared" si="3"/>
        <v>17957.255555555548</v>
      </c>
      <c r="H45" s="3">
        <f t="shared" si="9"/>
        <v>-2601.9555555555489</v>
      </c>
      <c r="I45" s="3">
        <f t="shared" si="4"/>
        <v>18485.866666666661</v>
      </c>
      <c r="J45" s="3">
        <f t="shared" si="5"/>
        <v>-3130.5666666666621</v>
      </c>
      <c r="K45" s="3">
        <f t="shared" si="6"/>
        <v>6770172.7130863853</v>
      </c>
      <c r="L45" s="3">
        <v>2601.9555555555489</v>
      </c>
      <c r="M45" s="3">
        <f t="shared" si="7"/>
        <v>-16.944999808245679</v>
      </c>
      <c r="N45" s="3">
        <f t="shared" si="8"/>
        <v>16.944999808245679</v>
      </c>
    </row>
    <row r="46" spans="1:14" ht="16.3" x14ac:dyDescent="0.25">
      <c r="A46" s="7">
        <v>45717</v>
      </c>
      <c r="B46" s="6">
        <v>13494.8</v>
      </c>
      <c r="C46" s="6">
        <f t="shared" si="0"/>
        <v>20554.899999999998</v>
      </c>
      <c r="D46" s="6">
        <f t="shared" si="0"/>
        <v>23029.666666666668</v>
      </c>
      <c r="E46" s="6">
        <f t="shared" si="1"/>
        <v>18080.133333333328</v>
      </c>
      <c r="F46" s="6">
        <f t="shared" si="2"/>
        <v>-2474.7666666666701</v>
      </c>
      <c r="G46" s="6">
        <f t="shared" si="3"/>
        <v>22812.355555555554</v>
      </c>
      <c r="H46" s="3">
        <f t="shared" si="9"/>
        <v>-9317.5555555555547</v>
      </c>
      <c r="I46" s="3">
        <f t="shared" si="4"/>
        <v>23340.966666666667</v>
      </c>
      <c r="J46" s="3">
        <f t="shared" si="5"/>
        <v>-9846.1666666666679</v>
      </c>
      <c r="K46" s="3">
        <f t="shared" si="6"/>
        <v>86816841.530864179</v>
      </c>
      <c r="L46" s="3">
        <v>9317.5555555555547</v>
      </c>
      <c r="M46" s="3">
        <f t="shared" si="7"/>
        <v>-69.0455253546222</v>
      </c>
      <c r="N46" s="3">
        <f t="shared" si="8"/>
        <v>69.0455253546222</v>
      </c>
    </row>
    <row r="47" spans="1:14" ht="16.3" x14ac:dyDescent="0.25">
      <c r="A47" s="7">
        <v>45748</v>
      </c>
      <c r="B47" s="6">
        <v>16201.6</v>
      </c>
      <c r="C47" s="6">
        <f t="shared" si="0"/>
        <v>16682.833333333332</v>
      </c>
      <c r="D47" s="6">
        <f t="shared" si="0"/>
        <v>22101.133333333331</v>
      </c>
      <c r="E47" s="6">
        <f t="shared" si="1"/>
        <v>11264.533333333333</v>
      </c>
      <c r="F47" s="6">
        <f t="shared" si="2"/>
        <v>-5418.2999999999993</v>
      </c>
      <c r="G47" s="6">
        <f t="shared" si="3"/>
        <v>15605.366666666658</v>
      </c>
      <c r="H47" s="3">
        <f t="shared" si="9"/>
        <v>596.23333333334267</v>
      </c>
      <c r="I47" s="3">
        <f t="shared" si="4"/>
        <v>16133.977777777769</v>
      </c>
      <c r="J47" s="3">
        <f t="shared" si="5"/>
        <v>67.622222222231358</v>
      </c>
      <c r="K47" s="3">
        <f t="shared" si="6"/>
        <v>355494.1877777889</v>
      </c>
      <c r="L47" s="3">
        <v>596.23333333334267</v>
      </c>
      <c r="M47" s="3">
        <f t="shared" si="7"/>
        <v>3.6800892092962592</v>
      </c>
      <c r="N47" s="3">
        <f t="shared" si="8"/>
        <v>3.6800892092962592</v>
      </c>
    </row>
    <row r="48" spans="1:14" ht="16.3" x14ac:dyDescent="0.25">
      <c r="A48" s="7">
        <v>45778</v>
      </c>
      <c r="B48" s="6">
        <v>20453.5</v>
      </c>
      <c r="C48" s="6">
        <f t="shared" si="0"/>
        <v>15017.233333333332</v>
      </c>
      <c r="D48" s="6">
        <f t="shared" si="0"/>
        <v>20144.31111111111</v>
      </c>
      <c r="E48" s="6">
        <f t="shared" si="1"/>
        <v>9890.1555555555533</v>
      </c>
      <c r="F48" s="6">
        <f t="shared" si="2"/>
        <v>-5127.0777777777785</v>
      </c>
      <c r="G48" s="6">
        <f t="shared" si="3"/>
        <v>5846.2333333333336</v>
      </c>
      <c r="H48" s="3">
        <f t="shared" si="9"/>
        <v>14607.266666666666</v>
      </c>
      <c r="I48" s="3">
        <f t="shared" si="4"/>
        <v>6374.8444444444449</v>
      </c>
      <c r="J48" s="3">
        <f t="shared" si="5"/>
        <v>14078.655555555555</v>
      </c>
      <c r="K48" s="3">
        <f t="shared" si="6"/>
        <v>213372239.47111112</v>
      </c>
      <c r="L48" s="3">
        <v>14607.266666666666</v>
      </c>
      <c r="M48" s="3">
        <f t="shared" si="7"/>
        <v>71.416953903569876</v>
      </c>
      <c r="N48" s="3">
        <f t="shared" si="8"/>
        <v>71.416953903569876</v>
      </c>
    </row>
    <row r="49" spans="1:14" ht="16.3" x14ac:dyDescent="0.25">
      <c r="A49" s="7">
        <v>45809</v>
      </c>
      <c r="B49" s="6">
        <v>20186.900000000001</v>
      </c>
      <c r="C49" s="6">
        <f t="shared" si="0"/>
        <v>16716.633333333335</v>
      </c>
      <c r="D49" s="6">
        <f t="shared" si="0"/>
        <v>17418.322222222221</v>
      </c>
      <c r="E49" s="6">
        <f t="shared" si="1"/>
        <v>16014.944444444449</v>
      </c>
      <c r="F49" s="6">
        <f t="shared" si="2"/>
        <v>-701.68888888888614</v>
      </c>
      <c r="G49" s="6">
        <f t="shared" si="3"/>
        <v>4763.0777777777748</v>
      </c>
      <c r="H49" s="3">
        <f t="shared" si="9"/>
        <v>15423.822222222227</v>
      </c>
      <c r="I49" s="3">
        <f t="shared" si="4"/>
        <v>5291.6888888888861</v>
      </c>
      <c r="J49" s="3">
        <f t="shared" si="5"/>
        <v>14895.211111111115</v>
      </c>
      <c r="K49" s="3">
        <f t="shared" si="6"/>
        <v>237894291.94271618</v>
      </c>
      <c r="L49" s="3">
        <v>15423.822222222227</v>
      </c>
      <c r="M49" s="3">
        <f t="shared" si="7"/>
        <v>76.40510540113749</v>
      </c>
      <c r="N49" s="3">
        <f t="shared" si="8"/>
        <v>76.40510540113749</v>
      </c>
    </row>
    <row r="50" spans="1:14" ht="16.3" x14ac:dyDescent="0.25">
      <c r="A50" s="7">
        <v>45839</v>
      </c>
      <c r="B50" s="6">
        <v>13949.1</v>
      </c>
      <c r="C50" s="6">
        <f t="shared" si="0"/>
        <v>18947.333333333332</v>
      </c>
      <c r="D50" s="6">
        <f t="shared" si="0"/>
        <v>16138.9</v>
      </c>
      <c r="E50" s="6">
        <f t="shared" si="1"/>
        <v>21755.766666666663</v>
      </c>
      <c r="F50" s="6">
        <f t="shared" si="2"/>
        <v>2808.4333333333325</v>
      </c>
      <c r="G50" s="6">
        <f t="shared" si="3"/>
        <v>15313.255555555563</v>
      </c>
      <c r="H50" s="3">
        <f t="shared" si="9"/>
        <v>-1364.1555555555624</v>
      </c>
      <c r="I50" s="3">
        <f t="shared" si="4"/>
        <v>15841.866666666674</v>
      </c>
      <c r="J50" s="3">
        <f t="shared" si="5"/>
        <v>-1892.7666666666737</v>
      </c>
      <c r="K50" s="3">
        <f t="shared" si="6"/>
        <v>1860920.3797531051</v>
      </c>
      <c r="L50" s="3">
        <v>1364.1555555555624</v>
      </c>
      <c r="M50" s="3">
        <f t="shared" si="7"/>
        <v>-9.7795238083859335</v>
      </c>
      <c r="N50" s="3">
        <f t="shared" si="8"/>
        <v>9.7795238083859335</v>
      </c>
    </row>
    <row r="51" spans="1:14" ht="16.3" x14ac:dyDescent="0.25">
      <c r="A51" s="7">
        <v>45870</v>
      </c>
      <c r="B51" s="6">
        <v>12749.4</v>
      </c>
      <c r="C51" s="6">
        <f t="shared" si="0"/>
        <v>18196.5</v>
      </c>
      <c r="D51" s="6">
        <f t="shared" si="0"/>
        <v>16893.733333333334</v>
      </c>
      <c r="E51" s="6">
        <f t="shared" si="1"/>
        <v>19499.266666666666</v>
      </c>
      <c r="F51" s="6">
        <f t="shared" si="2"/>
        <v>1302.7666666666664</v>
      </c>
      <c r="G51" s="6">
        <f t="shared" si="3"/>
        <v>24564.199999999997</v>
      </c>
      <c r="H51" s="3">
        <f t="shared" si="9"/>
        <v>-11814.799999999997</v>
      </c>
      <c r="I51" s="3">
        <f t="shared" si="4"/>
        <v>25092.811111111107</v>
      </c>
      <c r="J51" s="3">
        <f t="shared" si="5"/>
        <v>-12343.411111111107</v>
      </c>
      <c r="K51" s="3">
        <f t="shared" si="6"/>
        <v>139589499.03999993</v>
      </c>
      <c r="L51" s="3">
        <v>11814.799999999997</v>
      </c>
      <c r="M51" s="3">
        <f t="shared" si="7"/>
        <v>-92.669458954931201</v>
      </c>
      <c r="N51" s="3">
        <f t="shared" si="8"/>
        <v>92.669458954931201</v>
      </c>
    </row>
    <row r="52" spans="1:14" ht="16.3" x14ac:dyDescent="0.25">
      <c r="A52" s="7">
        <v>45901</v>
      </c>
      <c r="B52" s="6">
        <v>13183.5</v>
      </c>
      <c r="C52" s="6">
        <f t="shared" si="0"/>
        <v>15628.466666666667</v>
      </c>
      <c r="D52" s="6">
        <f t="shared" si="0"/>
        <v>17953.488888888889</v>
      </c>
      <c r="E52" s="6">
        <f t="shared" si="1"/>
        <v>13303.444444444445</v>
      </c>
      <c r="F52" s="6">
        <f t="shared" si="2"/>
        <v>-2325.0222222222219</v>
      </c>
      <c r="G52" s="6">
        <f t="shared" si="3"/>
        <v>20802.033333333333</v>
      </c>
      <c r="H52" s="3">
        <f t="shared" si="9"/>
        <v>-7618.5333333333328</v>
      </c>
      <c r="I52" s="3">
        <f t="shared" si="4"/>
        <v>21330.644444444442</v>
      </c>
      <c r="J52" s="3">
        <f t="shared" si="5"/>
        <v>-8147.1444444444423</v>
      </c>
      <c r="K52" s="3">
        <f t="shared" si="6"/>
        <v>58042050.151111104</v>
      </c>
      <c r="L52" s="3">
        <v>7618.5333333333328</v>
      </c>
      <c r="M52" s="3">
        <f t="shared" si="7"/>
        <v>-57.788397112552303</v>
      </c>
      <c r="N52" s="3">
        <f t="shared" si="8"/>
        <v>57.788397112552303</v>
      </c>
    </row>
    <row r="53" spans="1:14" ht="16.3" x14ac:dyDescent="0.25">
      <c r="A53" s="7">
        <v>45931</v>
      </c>
      <c r="B53" s="6">
        <v>13221</v>
      </c>
      <c r="C53" s="6">
        <f t="shared" si="0"/>
        <v>13294</v>
      </c>
      <c r="D53" s="6">
        <f t="shared" si="0"/>
        <v>17590.766666666666</v>
      </c>
      <c r="E53" s="6">
        <f t="shared" si="1"/>
        <v>8997.2333333333336</v>
      </c>
      <c r="F53" s="6">
        <f t="shared" si="2"/>
        <v>-4296.7666666666664</v>
      </c>
      <c r="G53" s="6">
        <f t="shared" si="3"/>
        <v>10978.422222222223</v>
      </c>
      <c r="H53" s="3">
        <f t="shared" si="9"/>
        <v>2242.5777777777766</v>
      </c>
      <c r="I53" s="3">
        <f t="shared" si="4"/>
        <v>11507.033333333335</v>
      </c>
      <c r="J53" s="3">
        <f t="shared" si="5"/>
        <v>1713.9666666666653</v>
      </c>
      <c r="K53" s="3">
        <f t="shared" si="6"/>
        <v>5029155.0893827109</v>
      </c>
      <c r="L53" s="3">
        <v>2242.5777777777766</v>
      </c>
      <c r="M53" s="3">
        <f t="shared" si="7"/>
        <v>16.962240207077954</v>
      </c>
      <c r="N53" s="3">
        <f t="shared" si="8"/>
        <v>16.962240207077954</v>
      </c>
    </row>
    <row r="54" spans="1:14" ht="16.3" x14ac:dyDescent="0.25">
      <c r="A54" s="7">
        <v>45962</v>
      </c>
      <c r="B54" s="6">
        <v>18164.099999999999</v>
      </c>
      <c r="C54" s="6">
        <f t="shared" si="0"/>
        <v>13051.300000000001</v>
      </c>
      <c r="D54" s="6">
        <f t="shared" si="0"/>
        <v>15706.322222222223</v>
      </c>
      <c r="E54" s="6">
        <f t="shared" si="1"/>
        <v>10396.277777777779</v>
      </c>
      <c r="F54" s="6">
        <f t="shared" si="2"/>
        <v>-2655.0222222222219</v>
      </c>
      <c r="G54" s="6">
        <f t="shared" si="3"/>
        <v>4700.4666666666672</v>
      </c>
      <c r="H54" s="3">
        <f t="shared" si="9"/>
        <v>13463.633333333331</v>
      </c>
      <c r="I54" s="3">
        <f t="shared" si="4"/>
        <v>5229.0777777777785</v>
      </c>
      <c r="J54" s="3">
        <f t="shared" si="5"/>
        <v>12935.02222222222</v>
      </c>
      <c r="K54" s="3">
        <f t="shared" si="6"/>
        <v>181269422.53444439</v>
      </c>
      <c r="L54" s="3">
        <v>13463.633333333331</v>
      </c>
      <c r="M54" s="3">
        <f t="shared" si="7"/>
        <v>74.122215432272071</v>
      </c>
      <c r="N54" s="3">
        <f t="shared" si="8"/>
        <v>74.122215432272071</v>
      </c>
    </row>
    <row r="55" spans="1:14" ht="16.3" x14ac:dyDescent="0.25">
      <c r="A55" s="7">
        <v>45992</v>
      </c>
      <c r="B55" s="6">
        <v>18027.400000000001</v>
      </c>
      <c r="C55" s="6">
        <f t="shared" si="0"/>
        <v>14856.199999999999</v>
      </c>
      <c r="D55" s="6">
        <f t="shared" si="0"/>
        <v>13991.255555555557</v>
      </c>
      <c r="E55" s="6">
        <f t="shared" si="1"/>
        <v>15721.144444444441</v>
      </c>
      <c r="F55" s="6">
        <f t="shared" si="2"/>
        <v>864.94444444444161</v>
      </c>
      <c r="G55" s="6">
        <f t="shared" si="3"/>
        <v>7741.2555555555573</v>
      </c>
      <c r="H55" s="3">
        <f t="shared" si="9"/>
        <v>10286.144444444444</v>
      </c>
      <c r="I55" s="3">
        <f t="shared" si="4"/>
        <v>8269.8666666666686</v>
      </c>
      <c r="J55" s="3">
        <f t="shared" si="5"/>
        <v>9757.5333333333328</v>
      </c>
      <c r="K55" s="3">
        <f t="shared" si="6"/>
        <v>105804767.5319753</v>
      </c>
      <c r="L55" s="3">
        <v>10286.144444444444</v>
      </c>
      <c r="M55" s="3">
        <f t="shared" si="7"/>
        <v>57.058391362284326</v>
      </c>
      <c r="N55" s="3">
        <f t="shared" si="8"/>
        <v>57.058391362284326</v>
      </c>
    </row>
    <row r="56" spans="1:14" ht="16.3" x14ac:dyDescent="0.25">
      <c r="A56" s="7">
        <v>46023</v>
      </c>
      <c r="B56" s="6">
        <v>18065.5</v>
      </c>
      <c r="C56" s="6">
        <f t="shared" si="0"/>
        <v>16470.833333333332</v>
      </c>
      <c r="D56" s="6">
        <f t="shared" si="0"/>
        <v>13733.833333333334</v>
      </c>
      <c r="E56" s="6">
        <f t="shared" si="1"/>
        <v>19207.833333333328</v>
      </c>
      <c r="F56" s="6">
        <f t="shared" si="2"/>
        <v>2736.9999999999982</v>
      </c>
      <c r="G56" s="6">
        <f t="shared" si="3"/>
        <v>16586.08888888888</v>
      </c>
      <c r="H56" s="3">
        <f t="shared" si="9"/>
        <v>1479.4111111111197</v>
      </c>
      <c r="I56" s="3">
        <f t="shared" si="4"/>
        <v>17114.69999999999</v>
      </c>
      <c r="J56" s="3">
        <f t="shared" si="5"/>
        <v>950.80000000001019</v>
      </c>
      <c r="K56" s="3">
        <f t="shared" si="6"/>
        <v>2188657.2356790379</v>
      </c>
      <c r="L56" s="3">
        <v>1479.4111111111197</v>
      </c>
      <c r="M56" s="3">
        <f t="shared" si="7"/>
        <v>8.1891512059512319</v>
      </c>
      <c r="N56" s="3">
        <f t="shared" si="8"/>
        <v>8.1891512059512319</v>
      </c>
    </row>
    <row r="57" spans="1:14" ht="16.3" x14ac:dyDescent="0.25">
      <c r="A57" s="7">
        <v>46054</v>
      </c>
      <c r="B57" s="6">
        <v>12633.1</v>
      </c>
      <c r="C57" s="6">
        <f t="shared" si="0"/>
        <v>18085.666666666668</v>
      </c>
      <c r="D57" s="6">
        <f t="shared" si="0"/>
        <v>14792.777777777776</v>
      </c>
      <c r="E57" s="6">
        <f t="shared" si="1"/>
        <v>21378.555555555562</v>
      </c>
      <c r="F57" s="6">
        <f t="shared" si="2"/>
        <v>3292.8888888888923</v>
      </c>
      <c r="G57" s="6">
        <f t="shared" si="3"/>
        <v>21944.833333333328</v>
      </c>
      <c r="H57" s="3">
        <f t="shared" si="9"/>
        <v>-9311.7333333333281</v>
      </c>
      <c r="I57" s="3">
        <f t="shared" si="4"/>
        <v>22473.444444444438</v>
      </c>
      <c r="J57" s="3">
        <f t="shared" si="5"/>
        <v>-9840.3444444444376</v>
      </c>
      <c r="K57" s="3">
        <f t="shared" si="6"/>
        <v>86708377.671111017</v>
      </c>
      <c r="L57" s="3">
        <v>9311.7333333333281</v>
      </c>
      <c r="M57" s="3">
        <f t="shared" si="7"/>
        <v>-73.709013095228627</v>
      </c>
      <c r="N57" s="3">
        <f t="shared" si="8"/>
        <v>73.709013095228627</v>
      </c>
    </row>
    <row r="58" spans="1:14" ht="16.3" x14ac:dyDescent="0.25">
      <c r="A58" s="7">
        <v>46082</v>
      </c>
      <c r="B58" s="6">
        <v>17500.8</v>
      </c>
      <c r="C58" s="6">
        <f t="shared" si="0"/>
        <v>16242</v>
      </c>
      <c r="D58" s="6">
        <f t="shared" si="0"/>
        <v>16470.899999999998</v>
      </c>
      <c r="E58" s="6">
        <f t="shared" si="1"/>
        <v>16013.100000000002</v>
      </c>
      <c r="F58" s="6">
        <f t="shared" si="2"/>
        <v>-228.89999999999782</v>
      </c>
      <c r="G58" s="6">
        <f t="shared" si="3"/>
        <v>24671.444444444453</v>
      </c>
      <c r="H58" s="3">
        <f t="shared" si="9"/>
        <v>-7170.6444444444533</v>
      </c>
      <c r="I58" s="3">
        <f t="shared" si="4"/>
        <v>25200.055555555562</v>
      </c>
      <c r="J58" s="3">
        <f t="shared" si="5"/>
        <v>-7699.2555555555628</v>
      </c>
      <c r="K58" s="3">
        <f t="shared" si="6"/>
        <v>51418141.748642102</v>
      </c>
      <c r="L58" s="3">
        <v>7170.6444444444533</v>
      </c>
      <c r="M58" s="3">
        <f t="shared" si="7"/>
        <v>-40.973238048800361</v>
      </c>
      <c r="N58" s="3">
        <f t="shared" si="8"/>
        <v>40.973238048800361</v>
      </c>
    </row>
    <row r="59" spans="1:14" ht="16.3" x14ac:dyDescent="0.25">
      <c r="A59" s="25">
        <v>46113</v>
      </c>
      <c r="B59" s="26">
        <v>1</v>
      </c>
      <c r="C59" s="8"/>
      <c r="D59" s="8"/>
      <c r="E59" s="8"/>
      <c r="F59" s="8"/>
      <c r="G59" s="6">
        <f>$E$58+($F$58*B59)</f>
        <v>15784.200000000004</v>
      </c>
      <c r="H59" s="8"/>
      <c r="I59" s="8"/>
      <c r="J59" s="8"/>
      <c r="K59" s="8"/>
      <c r="L59" s="8"/>
      <c r="M59" s="8"/>
    </row>
    <row r="60" spans="1:14" ht="16.3" x14ac:dyDescent="0.25">
      <c r="A60" s="25">
        <v>46143</v>
      </c>
      <c r="B60" s="26">
        <v>2</v>
      </c>
      <c r="C60" s="8"/>
      <c r="D60" s="8"/>
      <c r="E60" s="8"/>
      <c r="F60" s="8"/>
      <c r="G60" s="6">
        <f>$E$58+($F$58*B60)</f>
        <v>15555.300000000007</v>
      </c>
      <c r="H60" s="8"/>
      <c r="I60" s="8"/>
      <c r="J60" s="8"/>
      <c r="K60" s="8"/>
      <c r="L60" s="8"/>
      <c r="M60" s="8"/>
    </row>
    <row r="61" spans="1:14" ht="16.3" x14ac:dyDescent="0.25">
      <c r="A61" s="25">
        <v>46174</v>
      </c>
      <c r="B61" s="26">
        <v>3</v>
      </c>
      <c r="C61" s="8"/>
      <c r="D61" s="8"/>
      <c r="E61" s="8"/>
      <c r="F61" s="8"/>
      <c r="G61" s="6">
        <f>$E$58+($F$58*B61)</f>
        <v>15326.400000000009</v>
      </c>
      <c r="H61" s="8"/>
      <c r="I61" s="8"/>
      <c r="J61" s="8"/>
      <c r="K61" s="8"/>
      <c r="L61" s="8"/>
      <c r="M61" s="8"/>
    </row>
    <row r="62" spans="1:14" ht="16.3" x14ac:dyDescent="0.25">
      <c r="A62" s="25">
        <v>46204</v>
      </c>
      <c r="B62" s="26">
        <v>4</v>
      </c>
      <c r="C62" s="8"/>
      <c r="D62" s="8"/>
      <c r="E62" s="8"/>
      <c r="F62" s="8"/>
      <c r="G62" s="6">
        <f t="shared" ref="G62:G70" si="10">$E$58+($F$58*B62)</f>
        <v>15097.500000000011</v>
      </c>
      <c r="H62" s="8"/>
      <c r="I62" s="8"/>
      <c r="J62" s="8"/>
      <c r="K62" s="8"/>
      <c r="L62" s="8"/>
      <c r="M62" s="8"/>
    </row>
    <row r="63" spans="1:14" ht="16.3" x14ac:dyDescent="0.25">
      <c r="A63" s="25">
        <v>46235</v>
      </c>
      <c r="B63" s="26">
        <v>5</v>
      </c>
      <c r="C63" s="8"/>
      <c r="D63" s="8"/>
      <c r="E63" s="8"/>
      <c r="F63" s="8"/>
      <c r="G63" s="6">
        <f t="shared" si="10"/>
        <v>14868.600000000013</v>
      </c>
      <c r="H63" s="8"/>
      <c r="I63" s="8"/>
      <c r="J63" s="8"/>
      <c r="K63" s="8"/>
      <c r="L63" s="8"/>
      <c r="M63" s="8"/>
    </row>
    <row r="64" spans="1:14" ht="16.3" x14ac:dyDescent="0.25">
      <c r="A64" s="25">
        <v>46266</v>
      </c>
      <c r="B64" s="26">
        <v>6</v>
      </c>
      <c r="C64" s="8"/>
      <c r="D64" s="8"/>
      <c r="E64" s="8"/>
      <c r="F64" s="8"/>
      <c r="G64" s="6">
        <f t="shared" si="10"/>
        <v>14639.700000000015</v>
      </c>
      <c r="H64" s="8"/>
      <c r="I64" s="8"/>
      <c r="J64" s="8"/>
      <c r="K64" s="8"/>
      <c r="L64" s="8"/>
      <c r="M64" s="8"/>
    </row>
    <row r="65" spans="1:13" ht="16.3" x14ac:dyDescent="0.25">
      <c r="A65" s="25">
        <v>46296</v>
      </c>
      <c r="B65" s="26">
        <v>7</v>
      </c>
      <c r="C65" s="8"/>
      <c r="D65" s="8"/>
      <c r="E65" s="8"/>
      <c r="F65" s="8"/>
      <c r="G65" s="6">
        <f t="shared" si="10"/>
        <v>14410.800000000017</v>
      </c>
      <c r="H65" s="8"/>
      <c r="I65" s="8"/>
      <c r="J65" s="8"/>
      <c r="K65" s="8"/>
      <c r="L65" s="8"/>
      <c r="M65" s="8"/>
    </row>
    <row r="66" spans="1:13" ht="16.3" x14ac:dyDescent="0.25">
      <c r="A66" s="25">
        <v>46327</v>
      </c>
      <c r="B66" s="26">
        <v>8</v>
      </c>
      <c r="C66" s="8"/>
      <c r="D66" s="8"/>
      <c r="E66" s="8"/>
      <c r="F66" s="8"/>
      <c r="G66" s="6">
        <f t="shared" si="10"/>
        <v>14181.90000000002</v>
      </c>
      <c r="H66" s="8"/>
      <c r="I66" s="8"/>
      <c r="J66" s="8"/>
      <c r="K66" s="8"/>
      <c r="L66" s="8"/>
      <c r="M66" s="8"/>
    </row>
    <row r="67" spans="1:13" ht="16.3" x14ac:dyDescent="0.25">
      <c r="A67" s="25">
        <v>46357</v>
      </c>
      <c r="B67" s="26">
        <v>9</v>
      </c>
      <c r="C67" s="8"/>
      <c r="D67" s="8"/>
      <c r="E67" s="8"/>
      <c r="F67" s="8"/>
      <c r="G67" s="6">
        <f t="shared" si="10"/>
        <v>13953.000000000022</v>
      </c>
      <c r="H67" s="8"/>
      <c r="I67" s="8"/>
      <c r="J67" s="8"/>
      <c r="K67" s="8"/>
      <c r="L67" s="8"/>
      <c r="M67" s="8"/>
    </row>
    <row r="68" spans="1:13" ht="16.3" x14ac:dyDescent="0.25">
      <c r="A68" s="25">
        <v>46388</v>
      </c>
      <c r="B68" s="26">
        <v>10</v>
      </c>
      <c r="C68" s="8"/>
      <c r="D68" s="8"/>
      <c r="E68" s="8"/>
      <c r="F68" s="8"/>
      <c r="G68" s="6">
        <f t="shared" si="10"/>
        <v>13724.100000000024</v>
      </c>
      <c r="H68" s="8"/>
      <c r="I68" s="8"/>
      <c r="J68" s="8"/>
      <c r="K68" s="8"/>
      <c r="L68" s="8"/>
      <c r="M68" s="8"/>
    </row>
    <row r="69" spans="1:13" ht="16.3" x14ac:dyDescent="0.25">
      <c r="A69" s="25">
        <v>46419</v>
      </c>
      <c r="B69" s="26">
        <v>11</v>
      </c>
      <c r="C69" s="8"/>
      <c r="D69" s="8"/>
      <c r="E69" s="8"/>
      <c r="F69" s="8"/>
      <c r="G69" s="6">
        <f t="shared" si="10"/>
        <v>13495.200000000026</v>
      </c>
      <c r="H69" s="8"/>
      <c r="I69" s="8"/>
      <c r="J69" s="8"/>
      <c r="K69" s="8"/>
      <c r="L69" s="8"/>
      <c r="M69" s="8"/>
    </row>
    <row r="70" spans="1:13" ht="16.3" x14ac:dyDescent="0.25">
      <c r="A70" s="25">
        <v>46447</v>
      </c>
      <c r="B70" s="26">
        <v>12</v>
      </c>
      <c r="C70" s="8"/>
      <c r="D70" s="8"/>
      <c r="E70" s="8"/>
      <c r="F70" s="8"/>
      <c r="G70" s="24">
        <f t="shared" si="10"/>
        <v>13266.300000000028</v>
      </c>
      <c r="H70" s="8"/>
      <c r="I70" s="8"/>
      <c r="J70" s="8"/>
      <c r="K70" s="8"/>
      <c r="L70" s="8"/>
      <c r="M70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248F0-C3DE-4E7B-A278-1FC32FBAF834}">
  <dimension ref="A1:O59"/>
  <sheetViews>
    <sheetView workbookViewId="0">
      <pane ySplit="1" topLeftCell="A2" activePane="bottomLeft" state="frozen"/>
      <selection pane="bottomLeft" activeCell="D3" sqref="D3"/>
    </sheetView>
  </sheetViews>
  <sheetFormatPr defaultRowHeight="14.3" x14ac:dyDescent="0.25"/>
  <cols>
    <col min="2" max="2" width="14" bestFit="1" customWidth="1"/>
    <col min="3" max="3" width="9.625" bestFit="1" customWidth="1"/>
    <col min="4" max="4" width="9.875" bestFit="1" customWidth="1"/>
    <col min="5" max="5" width="21.75" bestFit="1" customWidth="1"/>
    <col min="6" max="6" width="17.75" bestFit="1" customWidth="1"/>
    <col min="7" max="8" width="17.625" bestFit="1" customWidth="1"/>
    <col min="9" max="9" width="7.375" bestFit="1" customWidth="1"/>
    <col min="10" max="10" width="16" bestFit="1" customWidth="1"/>
    <col min="13" max="13" width="25.25" bestFit="1" customWidth="1"/>
    <col min="14" max="14" width="21.75" bestFit="1" customWidth="1"/>
  </cols>
  <sheetData>
    <row r="1" spans="1:15" s="5" customFormat="1" ht="15.8" x14ac:dyDescent="0.25">
      <c r="A1" s="30" t="s">
        <v>0</v>
      </c>
      <c r="B1" s="30" t="s">
        <v>6</v>
      </c>
      <c r="C1" s="22" t="s">
        <v>11</v>
      </c>
      <c r="D1" s="22" t="s">
        <v>3</v>
      </c>
      <c r="E1" s="22" t="s">
        <v>16</v>
      </c>
      <c r="F1" s="22" t="s">
        <v>4</v>
      </c>
      <c r="G1" s="22" t="s">
        <v>5</v>
      </c>
      <c r="H1" s="22" t="s">
        <v>20</v>
      </c>
      <c r="I1" s="22" t="s">
        <v>21</v>
      </c>
      <c r="J1" s="22" t="s">
        <v>22</v>
      </c>
    </row>
    <row r="2" spans="1:15" ht="16.3" x14ac:dyDescent="0.25">
      <c r="A2" s="7">
        <v>44378</v>
      </c>
      <c r="B2" s="6">
        <v>43439.7</v>
      </c>
      <c r="C2" s="3">
        <f>B2</f>
        <v>43439.7</v>
      </c>
      <c r="D2" s="4"/>
      <c r="E2" s="4"/>
      <c r="F2" s="4"/>
      <c r="G2" s="4"/>
      <c r="H2" s="4"/>
      <c r="I2" s="4"/>
      <c r="J2" s="4"/>
      <c r="M2" s="23" t="s">
        <v>23</v>
      </c>
      <c r="N2" s="33">
        <v>0.72263974843104473</v>
      </c>
    </row>
    <row r="3" spans="1:15" ht="16.3" x14ac:dyDescent="0.25">
      <c r="A3" s="7">
        <v>44409</v>
      </c>
      <c r="B3" s="6">
        <v>42795.8</v>
      </c>
      <c r="C3" s="4">
        <f>(B2*$N$2)+(C2*(1-$N$2))</f>
        <v>43439.7</v>
      </c>
      <c r="D3" s="3">
        <f>B3-C3</f>
        <v>-643.89999999999418</v>
      </c>
      <c r="E3" s="20">
        <f>D3^2</f>
        <v>414607.20999999251</v>
      </c>
      <c r="F3" s="18">
        <f>C3+N$5</f>
        <v>42775.488663550277</v>
      </c>
      <c r="G3" s="3">
        <f>B3-F3</f>
        <v>20.311336449725786</v>
      </c>
      <c r="H3" s="4">
        <f>ABS(D3)</f>
        <v>643.89999999999418</v>
      </c>
      <c r="I3" s="4">
        <f>(D3/B3)*100</f>
        <v>-1.504586898714346</v>
      </c>
      <c r="J3" s="4">
        <f>ABS(I3)</f>
        <v>1.504586898714346</v>
      </c>
      <c r="M3" s="29" t="s">
        <v>17</v>
      </c>
      <c r="N3" s="33">
        <f>AVERAGE(E3:E58)</f>
        <v>9445466.337018868</v>
      </c>
      <c r="O3" s="34" t="s">
        <v>26</v>
      </c>
    </row>
    <row r="4" spans="1:15" ht="15.8" x14ac:dyDescent="0.25">
      <c r="A4" s="7">
        <v>44440</v>
      </c>
      <c r="B4" s="6">
        <v>43575.4</v>
      </c>
      <c r="C4" s="4">
        <f t="shared" ref="C4:C58" si="0">(B3*$N$2)+(C3*(1-$N$2))</f>
        <v>42974.392265985254</v>
      </c>
      <c r="D4" s="3">
        <f t="shared" ref="D4:D58" si="1">B4-C4</f>
        <v>601.00773401474726</v>
      </c>
      <c r="E4" s="20">
        <f t="shared" ref="E4:E58" si="2">D4^2</f>
        <v>361210.2963455412</v>
      </c>
      <c r="F4" s="18">
        <f t="shared" ref="F4:F35" si="3">C4+$N$5</f>
        <v>42310.180929535534</v>
      </c>
      <c r="G4" s="3">
        <f t="shared" ref="G4:G58" si="4">B4-F4</f>
        <v>1265.2190704644672</v>
      </c>
      <c r="H4" s="4">
        <f t="shared" ref="H4:H58" si="5">ABS(D4)</f>
        <v>601.00773401474726</v>
      </c>
      <c r="I4" s="4">
        <f t="shared" ref="I4:I58" si="6">(D4/B4)*100</f>
        <v>1.3792362984958193</v>
      </c>
      <c r="J4" s="4">
        <f t="shared" ref="J4:J58" si="7">ABS(I4)</f>
        <v>1.3792362984958193</v>
      </c>
      <c r="M4" s="19"/>
    </row>
    <row r="5" spans="1:15" ht="15.8" x14ac:dyDescent="0.25">
      <c r="A5" s="7">
        <v>44470</v>
      </c>
      <c r="B5" s="6">
        <v>37323.9</v>
      </c>
      <c r="C5" s="4">
        <f t="shared" si="0"/>
        <v>43408.704343698788</v>
      </c>
      <c r="D5" s="3">
        <f t="shared" si="1"/>
        <v>-6084.8043436987864</v>
      </c>
      <c r="E5" s="20">
        <f t="shared" si="2"/>
        <v>37024843.901095621</v>
      </c>
      <c r="F5" s="18">
        <f t="shared" si="3"/>
        <v>42744.493007249068</v>
      </c>
      <c r="G5" s="3">
        <f t="shared" si="4"/>
        <v>-5420.5930072490664</v>
      </c>
      <c r="H5" s="4">
        <f t="shared" si="5"/>
        <v>6084.8043436987864</v>
      </c>
      <c r="I5" s="4">
        <f t="shared" si="6"/>
        <v>-16.302702407033525</v>
      </c>
      <c r="J5" s="4">
        <f t="shared" si="7"/>
        <v>16.302702407033525</v>
      </c>
      <c r="M5" s="23" t="s">
        <v>15</v>
      </c>
      <c r="N5" s="13">
        <f>AVERAGE(D3:D58)</f>
        <v>-664.21133644972076</v>
      </c>
    </row>
    <row r="6" spans="1:15" ht="15.8" x14ac:dyDescent="0.25">
      <c r="A6" s="7">
        <v>44501</v>
      </c>
      <c r="B6" s="6">
        <v>37760.800000000003</v>
      </c>
      <c r="C6" s="4">
        <f t="shared" si="0"/>
        <v>39011.582863516167</v>
      </c>
      <c r="D6" s="3">
        <f t="shared" si="1"/>
        <v>-1250.7828635161641</v>
      </c>
      <c r="E6" s="20">
        <f t="shared" si="2"/>
        <v>1564457.7716656951</v>
      </c>
      <c r="F6" s="18">
        <f t="shared" si="3"/>
        <v>38347.371527066447</v>
      </c>
      <c r="G6" s="3">
        <f t="shared" si="4"/>
        <v>-586.57152706644411</v>
      </c>
      <c r="H6" s="4">
        <f t="shared" si="5"/>
        <v>1250.7828635161641</v>
      </c>
      <c r="I6" s="4">
        <f t="shared" si="6"/>
        <v>-3.3123844397262876</v>
      </c>
      <c r="J6" s="4">
        <f t="shared" si="7"/>
        <v>3.3123844397262876</v>
      </c>
      <c r="M6" s="23" t="s">
        <v>12</v>
      </c>
      <c r="N6" s="13">
        <f>AVERAGE(G3:G58)</f>
        <v>-8.1204884086868597E-13</v>
      </c>
    </row>
    <row r="7" spans="1:15" ht="15.8" x14ac:dyDescent="0.25">
      <c r="A7" s="7">
        <v>44531</v>
      </c>
      <c r="B7" s="6">
        <v>40536.5</v>
      </c>
      <c r="C7" s="4">
        <f t="shared" si="0"/>
        <v>38107.717449682983</v>
      </c>
      <c r="D7" s="3">
        <f t="shared" si="1"/>
        <v>2428.782550317017</v>
      </c>
      <c r="E7" s="20">
        <f t="shared" si="2"/>
        <v>5898984.676724433</v>
      </c>
      <c r="F7" s="18">
        <f t="shared" si="3"/>
        <v>37443.506113233263</v>
      </c>
      <c r="G7" s="3">
        <f t="shared" si="4"/>
        <v>3092.993886766737</v>
      </c>
      <c r="H7" s="4">
        <f t="shared" si="5"/>
        <v>2428.782550317017</v>
      </c>
      <c r="I7" s="4">
        <f t="shared" si="6"/>
        <v>5.9915941196625679</v>
      </c>
      <c r="J7" s="4">
        <f t="shared" si="7"/>
        <v>5.9915941196625679</v>
      </c>
      <c r="M7" s="23" t="s">
        <v>17</v>
      </c>
      <c r="N7" s="13">
        <f>AVERAGE(E3:E58)</f>
        <v>9445466.337018868</v>
      </c>
    </row>
    <row r="8" spans="1:15" ht="15.8" x14ac:dyDescent="0.25">
      <c r="A8" s="7">
        <v>44562</v>
      </c>
      <c r="B8" s="6">
        <v>38497.1</v>
      </c>
      <c r="C8" s="4">
        <f t="shared" si="0"/>
        <v>39862.852260837783</v>
      </c>
      <c r="D8" s="3">
        <f t="shared" si="1"/>
        <v>-1365.752260837784</v>
      </c>
      <c r="E8" s="20">
        <f t="shared" si="2"/>
        <v>1865279.2379835183</v>
      </c>
      <c r="F8" s="18">
        <f t="shared" si="3"/>
        <v>39198.640924388063</v>
      </c>
      <c r="G8" s="3">
        <f t="shared" si="4"/>
        <v>-701.54092438806401</v>
      </c>
      <c r="H8" s="4">
        <f t="shared" si="5"/>
        <v>1365.752260837784</v>
      </c>
      <c r="I8" s="4">
        <f t="shared" si="6"/>
        <v>-3.5476756972285814</v>
      </c>
      <c r="J8" s="4">
        <f t="shared" si="7"/>
        <v>3.5476756972285814</v>
      </c>
      <c r="M8" s="23" t="s">
        <v>18</v>
      </c>
      <c r="N8" s="13">
        <f>SQRT(N7)</f>
        <v>3073.3477409852057</v>
      </c>
    </row>
    <row r="9" spans="1:15" ht="15.8" x14ac:dyDescent="0.25">
      <c r="A9" s="7">
        <v>44593</v>
      </c>
      <c r="B9" s="6">
        <v>34233.9</v>
      </c>
      <c r="C9" s="4">
        <f t="shared" si="0"/>
        <v>38875.905390646833</v>
      </c>
      <c r="D9" s="3">
        <f t="shared" si="1"/>
        <v>-4642.0053906468311</v>
      </c>
      <c r="E9" s="20">
        <f t="shared" si="2"/>
        <v>21548214.046794239</v>
      </c>
      <c r="F9" s="18">
        <f t="shared" si="3"/>
        <v>38211.694054197113</v>
      </c>
      <c r="G9" s="3">
        <f t="shared" si="4"/>
        <v>-3977.7940541971111</v>
      </c>
      <c r="H9" s="4">
        <f t="shared" si="5"/>
        <v>4642.0053906468311</v>
      </c>
      <c r="I9" s="4">
        <f t="shared" si="6"/>
        <v>-13.559674447395217</v>
      </c>
      <c r="J9" s="4">
        <f t="shared" si="7"/>
        <v>13.559674447395217</v>
      </c>
      <c r="M9" s="23" t="s">
        <v>19</v>
      </c>
      <c r="N9" s="13">
        <f>AVERAGE(H3:H58)</f>
        <v>2371.7394852152779</v>
      </c>
    </row>
    <row r="10" spans="1:15" ht="15.8" x14ac:dyDescent="0.25">
      <c r="A10" s="7">
        <v>44621</v>
      </c>
      <c r="B10" s="6">
        <v>35915</v>
      </c>
      <c r="C10" s="4">
        <f t="shared" si="0"/>
        <v>35521.40778293425</v>
      </c>
      <c r="D10" s="3">
        <f t="shared" si="1"/>
        <v>393.59221706575045</v>
      </c>
      <c r="E10" s="20">
        <f t="shared" si="2"/>
        <v>154914.83333473283</v>
      </c>
      <c r="F10" s="18">
        <f t="shared" si="3"/>
        <v>34857.19644648453</v>
      </c>
      <c r="G10" s="3">
        <f t="shared" si="4"/>
        <v>1057.8035535154704</v>
      </c>
      <c r="H10" s="4">
        <f t="shared" si="5"/>
        <v>393.59221706575045</v>
      </c>
      <c r="I10" s="4">
        <f t="shared" si="6"/>
        <v>1.095899253976752</v>
      </c>
      <c r="J10" s="4">
        <f t="shared" si="7"/>
        <v>1.095899253976752</v>
      </c>
      <c r="M10" s="23" t="s">
        <v>24</v>
      </c>
      <c r="N10" s="13">
        <f>AVERAGE(J3:J58)</f>
        <v>10.881859148757981</v>
      </c>
    </row>
    <row r="11" spans="1:15" ht="15.8" x14ac:dyDescent="0.25">
      <c r="A11" s="7">
        <v>44652</v>
      </c>
      <c r="B11" s="6">
        <v>33419.599999999999</v>
      </c>
      <c r="C11" s="4">
        <f t="shared" si="0"/>
        <v>35805.833163659059</v>
      </c>
      <c r="D11" s="3">
        <f t="shared" si="1"/>
        <v>-2386.2331636590607</v>
      </c>
      <c r="E11" s="20">
        <f t="shared" si="2"/>
        <v>5694108.7113463292</v>
      </c>
      <c r="F11" s="18">
        <f t="shared" si="3"/>
        <v>35141.621827209339</v>
      </c>
      <c r="G11" s="3">
        <f t="shared" si="4"/>
        <v>-1722.0218272093407</v>
      </c>
      <c r="H11" s="4">
        <f t="shared" si="5"/>
        <v>2386.2331636590607</v>
      </c>
      <c r="I11" s="4">
        <f t="shared" si="6"/>
        <v>-7.1402206000642163</v>
      </c>
      <c r="J11" s="4">
        <f t="shared" si="7"/>
        <v>7.1402206000642163</v>
      </c>
      <c r="M11" s="23" t="s">
        <v>25</v>
      </c>
      <c r="N11" s="13">
        <f>AVERAGE(I3:I58)</f>
        <v>-3.7628826285372257</v>
      </c>
    </row>
    <row r="12" spans="1:15" ht="15.8" x14ac:dyDescent="0.25">
      <c r="A12" s="7">
        <v>44682</v>
      </c>
      <c r="B12" s="6">
        <v>32549.9</v>
      </c>
      <c r="C12" s="4">
        <f t="shared" si="0"/>
        <v>34081.446230574657</v>
      </c>
      <c r="D12" s="3">
        <f t="shared" si="1"/>
        <v>-1531.5462305746551</v>
      </c>
      <c r="E12" s="20">
        <f t="shared" si="2"/>
        <v>2345633.8563874345</v>
      </c>
      <c r="F12" s="18">
        <f t="shared" si="3"/>
        <v>33417.234894124937</v>
      </c>
      <c r="G12" s="3">
        <f t="shared" si="4"/>
        <v>-867.33489412493509</v>
      </c>
      <c r="H12" s="4">
        <f t="shared" si="5"/>
        <v>1531.5462305746551</v>
      </c>
      <c r="I12" s="4">
        <f t="shared" si="6"/>
        <v>-4.7052256092174014</v>
      </c>
      <c r="J12" s="4">
        <f t="shared" si="7"/>
        <v>4.7052256092174014</v>
      </c>
    </row>
    <row r="13" spans="1:15" ht="15.8" x14ac:dyDescent="0.25">
      <c r="A13" s="7">
        <v>44713</v>
      </c>
      <c r="B13" s="6">
        <v>35112.6</v>
      </c>
      <c r="C13" s="4">
        <f t="shared" si="0"/>
        <v>32974.690047801676</v>
      </c>
      <c r="D13" s="3">
        <f t="shared" si="1"/>
        <v>2137.9099521983226</v>
      </c>
      <c r="E13" s="20">
        <f t="shared" si="2"/>
        <v>4570658.9637086336</v>
      </c>
      <c r="F13" s="18">
        <f t="shared" si="3"/>
        <v>32310.478711351956</v>
      </c>
      <c r="G13" s="3">
        <f t="shared" si="4"/>
        <v>2802.1212886480425</v>
      </c>
      <c r="H13" s="4">
        <f t="shared" si="5"/>
        <v>2137.9099521983226</v>
      </c>
      <c r="I13" s="4">
        <f t="shared" si="6"/>
        <v>6.0887258482662139</v>
      </c>
      <c r="J13" s="4">
        <f t="shared" si="7"/>
        <v>6.0887258482662139</v>
      </c>
    </row>
    <row r="14" spans="1:15" ht="15.8" x14ac:dyDescent="0.25">
      <c r="A14" s="7">
        <v>44743</v>
      </c>
      <c r="B14" s="6">
        <v>34621.800000000003</v>
      </c>
      <c r="C14" s="4">
        <f t="shared" si="0"/>
        <v>34519.628757826496</v>
      </c>
      <c r="D14" s="3">
        <f t="shared" si="1"/>
        <v>102.17124217350647</v>
      </c>
      <c r="E14" s="20">
        <f t="shared" si="2"/>
        <v>10438.962727277307</v>
      </c>
      <c r="F14" s="18">
        <f t="shared" si="3"/>
        <v>33855.417421376776</v>
      </c>
      <c r="G14" s="3">
        <f t="shared" si="4"/>
        <v>766.38257862322644</v>
      </c>
      <c r="H14" s="4">
        <f t="shared" si="5"/>
        <v>102.17124217350647</v>
      </c>
      <c r="I14" s="4">
        <f t="shared" si="6"/>
        <v>0.29510667317559014</v>
      </c>
      <c r="J14" s="4">
        <f t="shared" si="7"/>
        <v>0.29510667317559014</v>
      </c>
    </row>
    <row r="15" spans="1:15" ht="15.8" x14ac:dyDescent="0.25">
      <c r="A15" s="7">
        <v>44774</v>
      </c>
      <c r="B15" s="6">
        <v>34770.1</v>
      </c>
      <c r="C15" s="4">
        <f t="shared" si="0"/>
        <v>34593.461758567646</v>
      </c>
      <c r="D15" s="3">
        <f t="shared" si="1"/>
        <v>176.63824143235252</v>
      </c>
      <c r="E15" s="20">
        <f t="shared" si="2"/>
        <v>31201.068336314056</v>
      </c>
      <c r="F15" s="18">
        <f t="shared" si="3"/>
        <v>33929.250422117926</v>
      </c>
      <c r="G15" s="3">
        <f t="shared" si="4"/>
        <v>840.84957788207248</v>
      </c>
      <c r="H15" s="4">
        <f t="shared" si="5"/>
        <v>176.63824143235252</v>
      </c>
      <c r="I15" s="4">
        <f t="shared" si="6"/>
        <v>0.50801763996178484</v>
      </c>
      <c r="J15" s="4">
        <f t="shared" si="7"/>
        <v>0.50801763996178484</v>
      </c>
    </row>
    <row r="16" spans="1:15" ht="15.8" x14ac:dyDescent="0.25">
      <c r="A16" s="7">
        <v>44805</v>
      </c>
      <c r="B16" s="6">
        <v>33953.300000000003</v>
      </c>
      <c r="C16" s="4">
        <f t="shared" si="0"/>
        <v>34721.107572919624</v>
      </c>
      <c r="D16" s="3">
        <f t="shared" si="1"/>
        <v>-767.80757291962072</v>
      </c>
      <c r="E16" s="20">
        <f t="shared" si="2"/>
        <v>589528.46903271868</v>
      </c>
      <c r="F16" s="18">
        <f t="shared" si="3"/>
        <v>34056.896236469904</v>
      </c>
      <c r="G16" s="3">
        <f t="shared" si="4"/>
        <v>-103.59623646990076</v>
      </c>
      <c r="H16" s="4">
        <f t="shared" si="5"/>
        <v>767.80757291962072</v>
      </c>
      <c r="I16" s="4">
        <f t="shared" si="6"/>
        <v>-2.2613636168490858</v>
      </c>
      <c r="J16" s="4">
        <f t="shared" si="7"/>
        <v>2.2613636168490858</v>
      </c>
    </row>
    <row r="17" spans="1:10" ht="15.8" x14ac:dyDescent="0.25">
      <c r="A17" s="7">
        <v>44835</v>
      </c>
      <c r="B17" s="6">
        <v>26416.799999999999</v>
      </c>
      <c r="C17" s="4">
        <f t="shared" si="0"/>
        <v>34166.259301581536</v>
      </c>
      <c r="D17" s="3">
        <f t="shared" si="1"/>
        <v>-7749.4593015815371</v>
      </c>
      <c r="E17" s="20">
        <f t="shared" si="2"/>
        <v>60054119.466868609</v>
      </c>
      <c r="F17" s="18">
        <f t="shared" si="3"/>
        <v>33502.047965131816</v>
      </c>
      <c r="G17" s="3">
        <f t="shared" si="4"/>
        <v>-7085.2479651318172</v>
      </c>
      <c r="H17" s="4">
        <f t="shared" si="5"/>
        <v>7749.4593015815371</v>
      </c>
      <c r="I17" s="4">
        <f t="shared" si="6"/>
        <v>-29.335344559452835</v>
      </c>
      <c r="J17" s="4">
        <f t="shared" si="7"/>
        <v>29.335344559452835</v>
      </c>
    </row>
    <row r="18" spans="1:10" ht="15.8" x14ac:dyDescent="0.25">
      <c r="A18" s="7">
        <v>44866</v>
      </c>
      <c r="B18" s="6">
        <v>28485.3</v>
      </c>
      <c r="C18" s="4">
        <f t="shared" si="0"/>
        <v>28566.191981410037</v>
      </c>
      <c r="D18" s="3">
        <f t="shared" si="1"/>
        <v>-80.891981410037261</v>
      </c>
      <c r="E18" s="20">
        <f t="shared" si="2"/>
        <v>6543.5126564418133</v>
      </c>
      <c r="F18" s="18">
        <f t="shared" si="3"/>
        <v>27901.980644960317</v>
      </c>
      <c r="G18" s="3">
        <f t="shared" si="4"/>
        <v>583.3193550396827</v>
      </c>
      <c r="H18" s="4">
        <f t="shared" si="5"/>
        <v>80.891981410037261</v>
      </c>
      <c r="I18" s="4">
        <f t="shared" si="6"/>
        <v>-0.28397798657566276</v>
      </c>
      <c r="J18" s="4">
        <f t="shared" si="7"/>
        <v>0.28397798657566276</v>
      </c>
    </row>
    <row r="19" spans="1:10" ht="15.8" x14ac:dyDescent="0.25">
      <c r="A19" s="7">
        <v>44896</v>
      </c>
      <c r="B19" s="6">
        <v>26334.9</v>
      </c>
      <c r="C19" s="4">
        <f t="shared" si="0"/>
        <v>28507.7362203138</v>
      </c>
      <c r="D19" s="3">
        <f t="shared" si="1"/>
        <v>-2172.8362203137985</v>
      </c>
      <c r="E19" s="20">
        <f t="shared" si="2"/>
        <v>4721217.2403075537</v>
      </c>
      <c r="F19" s="18">
        <f t="shared" si="3"/>
        <v>27843.52488386408</v>
      </c>
      <c r="G19" s="3">
        <f t="shared" si="4"/>
        <v>-1508.6248838640786</v>
      </c>
      <c r="H19" s="4">
        <f t="shared" si="5"/>
        <v>2172.8362203137985</v>
      </c>
      <c r="I19" s="4">
        <f t="shared" si="6"/>
        <v>-8.2507859164599004</v>
      </c>
      <c r="J19" s="4">
        <f t="shared" si="7"/>
        <v>8.2507859164599004</v>
      </c>
    </row>
    <row r="20" spans="1:10" ht="15.8" x14ac:dyDescent="0.25">
      <c r="A20" s="7">
        <v>44927</v>
      </c>
      <c r="B20" s="6">
        <v>27844.7</v>
      </c>
      <c r="C20" s="4">
        <f t="shared" si="0"/>
        <v>26937.558400684375</v>
      </c>
      <c r="D20" s="3">
        <f t="shared" si="1"/>
        <v>907.14159931562608</v>
      </c>
      <c r="E20" s="20">
        <f t="shared" si="2"/>
        <v>822905.88120891189</v>
      </c>
      <c r="F20" s="18">
        <f t="shared" si="3"/>
        <v>26273.347064234655</v>
      </c>
      <c r="G20" s="3">
        <f t="shared" si="4"/>
        <v>1571.352935765346</v>
      </c>
      <c r="H20" s="4">
        <f t="shared" si="5"/>
        <v>907.14159931562608</v>
      </c>
      <c r="I20" s="4">
        <f t="shared" si="6"/>
        <v>3.2578609190101746</v>
      </c>
      <c r="J20" s="4">
        <f t="shared" si="7"/>
        <v>3.2578609190101746</v>
      </c>
    </row>
    <row r="21" spans="1:10" ht="15.8" x14ac:dyDescent="0.25">
      <c r="A21" s="7">
        <v>44958</v>
      </c>
      <c r="B21" s="6">
        <v>27601.1</v>
      </c>
      <c r="C21" s="4">
        <f t="shared" si="0"/>
        <v>27593.094977805154</v>
      </c>
      <c r="D21" s="3">
        <f t="shared" si="1"/>
        <v>8.0050221948440594</v>
      </c>
      <c r="E21" s="20">
        <f t="shared" si="2"/>
        <v>64.080380339946004</v>
      </c>
      <c r="F21" s="18">
        <f t="shared" si="3"/>
        <v>26928.883641355435</v>
      </c>
      <c r="G21" s="3">
        <f t="shared" si="4"/>
        <v>672.21635864456402</v>
      </c>
      <c r="H21" s="4">
        <f t="shared" si="5"/>
        <v>8.0050221948440594</v>
      </c>
      <c r="I21" s="4">
        <f t="shared" si="6"/>
        <v>2.9002547705867014E-2</v>
      </c>
      <c r="J21" s="4">
        <f t="shared" si="7"/>
        <v>2.9002547705867014E-2</v>
      </c>
    </row>
    <row r="22" spans="1:10" ht="16.3" x14ac:dyDescent="0.25">
      <c r="A22" s="7">
        <v>44986</v>
      </c>
      <c r="B22" s="6">
        <v>28988.1</v>
      </c>
      <c r="C22" s="4">
        <f t="shared" si="0"/>
        <v>27598.87972503022</v>
      </c>
      <c r="D22" s="3">
        <f t="shared" si="1"/>
        <v>1389.220274969779</v>
      </c>
      <c r="E22" s="20">
        <f t="shared" si="2"/>
        <v>1929932.9723871083</v>
      </c>
      <c r="F22" s="18">
        <f t="shared" si="3"/>
        <v>26934.6683885805</v>
      </c>
      <c r="G22" s="3">
        <f t="shared" si="4"/>
        <v>2053.4316114194989</v>
      </c>
      <c r="H22" s="4">
        <f t="shared" si="5"/>
        <v>1389.220274969779</v>
      </c>
      <c r="I22" s="4">
        <f t="shared" si="6"/>
        <v>4.7923812701411235</v>
      </c>
      <c r="J22" s="4">
        <f t="shared" si="7"/>
        <v>4.7923812701411235</v>
      </c>
    </row>
    <row r="23" spans="1:10" ht="16.3" x14ac:dyDescent="0.25">
      <c r="A23" s="7">
        <v>45017</v>
      </c>
      <c r="B23" s="6">
        <v>26906.9</v>
      </c>
      <c r="C23" s="4">
        <f t="shared" si="0"/>
        <v>28602.785515049687</v>
      </c>
      <c r="D23" s="3">
        <f t="shared" si="1"/>
        <v>-1695.8855150496856</v>
      </c>
      <c r="E23" s="20">
        <f t="shared" si="2"/>
        <v>2876027.6801553373</v>
      </c>
      <c r="F23" s="18">
        <f t="shared" si="3"/>
        <v>27938.574178599967</v>
      </c>
      <c r="G23" s="3">
        <f t="shared" si="4"/>
        <v>-1031.6741785999657</v>
      </c>
      <c r="H23" s="4">
        <f t="shared" si="5"/>
        <v>1695.8855150496856</v>
      </c>
      <c r="I23" s="4">
        <f t="shared" si="6"/>
        <v>-6.3027904182558592</v>
      </c>
      <c r="J23" s="4">
        <f t="shared" si="7"/>
        <v>6.3027904182558592</v>
      </c>
    </row>
    <row r="24" spans="1:10" ht="16.3" x14ac:dyDescent="0.25">
      <c r="A24" s="7">
        <v>45047</v>
      </c>
      <c r="B24" s="6">
        <v>30363.1</v>
      </c>
      <c r="C24" s="4">
        <f t="shared" si="0"/>
        <v>27377.271233086329</v>
      </c>
      <c r="D24" s="3">
        <f t="shared" si="1"/>
        <v>2985.8287669136698</v>
      </c>
      <c r="E24" s="20">
        <f t="shared" si="2"/>
        <v>8915173.4253292065</v>
      </c>
      <c r="F24" s="18">
        <f t="shared" si="3"/>
        <v>26713.059896636609</v>
      </c>
      <c r="G24" s="3">
        <f t="shared" si="4"/>
        <v>3650.0401033633898</v>
      </c>
      <c r="H24" s="4">
        <f t="shared" si="5"/>
        <v>2985.8287669136698</v>
      </c>
      <c r="I24" s="4">
        <f t="shared" si="6"/>
        <v>9.8337415050296908</v>
      </c>
      <c r="J24" s="4">
        <f t="shared" si="7"/>
        <v>9.8337415050296908</v>
      </c>
    </row>
    <row r="25" spans="1:10" ht="16.3" x14ac:dyDescent="0.25">
      <c r="A25" s="7">
        <v>45078</v>
      </c>
      <c r="B25" s="6">
        <v>32034.2</v>
      </c>
      <c r="C25" s="4">
        <f t="shared" si="0"/>
        <v>29534.949782066997</v>
      </c>
      <c r="D25" s="3">
        <f t="shared" si="1"/>
        <v>2499.250217933004</v>
      </c>
      <c r="E25" s="20">
        <f t="shared" si="2"/>
        <v>6246251.6518381685</v>
      </c>
      <c r="F25" s="18">
        <f t="shared" si="3"/>
        <v>28870.738445617277</v>
      </c>
      <c r="G25" s="3">
        <f t="shared" si="4"/>
        <v>3163.461554382724</v>
      </c>
      <c r="H25" s="4">
        <f t="shared" si="5"/>
        <v>2499.250217933004</v>
      </c>
      <c r="I25" s="4">
        <f t="shared" si="6"/>
        <v>7.8018187372651857</v>
      </c>
      <c r="J25" s="4">
        <f t="shared" si="7"/>
        <v>7.8018187372651857</v>
      </c>
    </row>
    <row r="26" spans="1:10" ht="16.3" x14ac:dyDescent="0.25">
      <c r="A26" s="7">
        <v>45108</v>
      </c>
      <c r="B26" s="6">
        <v>28753.200000000001</v>
      </c>
      <c r="C26" s="4">
        <f t="shared" si="0"/>
        <v>31341.007330820335</v>
      </c>
      <c r="D26" s="3">
        <f t="shared" si="1"/>
        <v>-2587.8073308203348</v>
      </c>
      <c r="E26" s="20">
        <f t="shared" si="2"/>
        <v>6696746.7814474655</v>
      </c>
      <c r="F26" s="18">
        <f t="shared" si="3"/>
        <v>30676.795994370616</v>
      </c>
      <c r="G26" s="3">
        <f t="shared" si="4"/>
        <v>-1923.5959943706148</v>
      </c>
      <c r="H26" s="4">
        <f t="shared" si="5"/>
        <v>2587.8073308203348</v>
      </c>
      <c r="I26" s="4">
        <f t="shared" si="6"/>
        <v>-9.0000672301529381</v>
      </c>
      <c r="J26" s="4">
        <f t="shared" si="7"/>
        <v>9.0000672301529381</v>
      </c>
    </row>
    <row r="27" spans="1:10" ht="16.3" x14ac:dyDescent="0.25">
      <c r="A27" s="7">
        <v>45139</v>
      </c>
      <c r="B27" s="6">
        <v>25975</v>
      </c>
      <c r="C27" s="4">
        <f t="shared" si="0"/>
        <v>29470.954892288319</v>
      </c>
      <c r="D27" s="3">
        <f t="shared" si="1"/>
        <v>-3495.9548922883187</v>
      </c>
      <c r="E27" s="20">
        <f t="shared" si="2"/>
        <v>12221700.60891463</v>
      </c>
      <c r="F27" s="18">
        <f t="shared" si="3"/>
        <v>28806.743555838599</v>
      </c>
      <c r="G27" s="3">
        <f t="shared" si="4"/>
        <v>-2831.7435558385987</v>
      </c>
      <c r="H27" s="4">
        <f t="shared" si="5"/>
        <v>3495.9548922883187</v>
      </c>
      <c r="I27" s="4">
        <f t="shared" si="6"/>
        <v>-13.458921625749062</v>
      </c>
      <c r="J27" s="4">
        <f t="shared" si="7"/>
        <v>13.458921625749062</v>
      </c>
    </row>
    <row r="28" spans="1:10" ht="16.3" x14ac:dyDescent="0.25">
      <c r="A28" s="7">
        <v>45170</v>
      </c>
      <c r="B28" s="6">
        <v>27143.200000000001</v>
      </c>
      <c r="C28" s="4">
        <f t="shared" si="0"/>
        <v>26944.63892839881</v>
      </c>
      <c r="D28" s="3">
        <f t="shared" si="1"/>
        <v>198.56107160119063</v>
      </c>
      <c r="E28" s="20">
        <f t="shared" si="2"/>
        <v>39426.499155413156</v>
      </c>
      <c r="F28" s="18">
        <f t="shared" si="3"/>
        <v>26280.42759194909</v>
      </c>
      <c r="G28" s="3">
        <f t="shared" si="4"/>
        <v>862.7724080509106</v>
      </c>
      <c r="H28" s="4">
        <f t="shared" si="5"/>
        <v>198.56107160119063</v>
      </c>
      <c r="I28" s="4">
        <f t="shared" si="6"/>
        <v>0.73153154971112699</v>
      </c>
      <c r="J28" s="4">
        <f t="shared" si="7"/>
        <v>0.73153154971112699</v>
      </c>
    </row>
    <row r="29" spans="1:10" ht="16.3" x14ac:dyDescent="0.25">
      <c r="A29" s="7">
        <v>45200</v>
      </c>
      <c r="B29" s="6">
        <v>24166.1</v>
      </c>
      <c r="C29" s="4">
        <f t="shared" si="0"/>
        <v>27088.12705122889</v>
      </c>
      <c r="D29" s="3">
        <f t="shared" si="1"/>
        <v>-2922.0270512288917</v>
      </c>
      <c r="E29" s="20">
        <f t="shared" si="2"/>
        <v>8538242.0881134123</v>
      </c>
      <c r="F29" s="18">
        <f t="shared" si="3"/>
        <v>26423.91571477917</v>
      </c>
      <c r="G29" s="3">
        <f t="shared" si="4"/>
        <v>-2257.8157147791717</v>
      </c>
      <c r="H29" s="4">
        <f t="shared" si="5"/>
        <v>2922.0270512288917</v>
      </c>
      <c r="I29" s="4">
        <f t="shared" si="6"/>
        <v>-12.091429942063021</v>
      </c>
      <c r="J29" s="4">
        <f t="shared" si="7"/>
        <v>12.091429942063021</v>
      </c>
    </row>
    <row r="30" spans="1:10" ht="16.3" x14ac:dyDescent="0.25">
      <c r="A30" s="7">
        <v>45231</v>
      </c>
      <c r="B30" s="6">
        <v>22756.5</v>
      </c>
      <c r="C30" s="4">
        <f t="shared" si="0"/>
        <v>24976.554158020139</v>
      </c>
      <c r="D30" s="3">
        <f t="shared" si="1"/>
        <v>-2220.0541580201389</v>
      </c>
      <c r="E30" s="20">
        <f t="shared" si="2"/>
        <v>4928640.4645425081</v>
      </c>
      <c r="F30" s="18">
        <f t="shared" si="3"/>
        <v>24312.342821570419</v>
      </c>
      <c r="G30" s="3">
        <f t="shared" si="4"/>
        <v>-1555.8428215704189</v>
      </c>
      <c r="H30" s="4">
        <f t="shared" si="5"/>
        <v>2220.0541580201389</v>
      </c>
      <c r="I30" s="4">
        <f t="shared" si="6"/>
        <v>-9.7556924747660609</v>
      </c>
      <c r="J30" s="4">
        <f t="shared" si="7"/>
        <v>9.7556924747660609</v>
      </c>
    </row>
    <row r="31" spans="1:10" ht="16.3" x14ac:dyDescent="0.25">
      <c r="A31" s="7">
        <v>45261</v>
      </c>
      <c r="B31" s="6">
        <v>27706.400000000001</v>
      </c>
      <c r="C31" s="4">
        <f t="shared" si="0"/>
        <v>23372.254779765171</v>
      </c>
      <c r="D31" s="3">
        <f t="shared" si="1"/>
        <v>4334.14522023483</v>
      </c>
      <c r="E31" s="20">
        <f t="shared" si="2"/>
        <v>18784814.790084422</v>
      </c>
      <c r="F31" s="18">
        <f t="shared" si="3"/>
        <v>22708.043443315451</v>
      </c>
      <c r="G31" s="3">
        <f t="shared" si="4"/>
        <v>4998.35655668455</v>
      </c>
      <c r="H31" s="4">
        <f t="shared" si="5"/>
        <v>4334.14522023483</v>
      </c>
      <c r="I31" s="4">
        <f t="shared" si="6"/>
        <v>15.643119352333143</v>
      </c>
      <c r="J31" s="4">
        <f t="shared" si="7"/>
        <v>15.643119352333143</v>
      </c>
    </row>
    <row r="32" spans="1:10" ht="16.3" x14ac:dyDescent="0.25">
      <c r="A32" s="7">
        <v>45292</v>
      </c>
      <c r="B32" s="6">
        <v>27323.5</v>
      </c>
      <c r="C32" s="4">
        <f t="shared" si="0"/>
        <v>26504.280391379285</v>
      </c>
      <c r="D32" s="3">
        <f t="shared" si="1"/>
        <v>819.21960862071501</v>
      </c>
      <c r="E32" s="20">
        <f t="shared" si="2"/>
        <v>671120.76714867749</v>
      </c>
      <c r="F32" s="18">
        <f t="shared" si="3"/>
        <v>25840.069054929565</v>
      </c>
      <c r="G32" s="3">
        <f t="shared" si="4"/>
        <v>1483.430945070435</v>
      </c>
      <c r="H32" s="4">
        <f t="shared" si="5"/>
        <v>819.21960862071501</v>
      </c>
      <c r="I32" s="4">
        <f t="shared" si="6"/>
        <v>2.9982235387879115</v>
      </c>
      <c r="J32" s="4">
        <f t="shared" si="7"/>
        <v>2.9982235387879115</v>
      </c>
    </row>
    <row r="33" spans="1:10" ht="16.3" x14ac:dyDescent="0.25">
      <c r="A33" s="7">
        <v>45323</v>
      </c>
      <c r="B33" s="6">
        <v>24273</v>
      </c>
      <c r="C33" s="4">
        <f t="shared" si="0"/>
        <v>27096.281043262738</v>
      </c>
      <c r="D33" s="3">
        <f t="shared" si="1"/>
        <v>-2823.2810432627375</v>
      </c>
      <c r="E33" s="20">
        <f t="shared" si="2"/>
        <v>7970915.849246732</v>
      </c>
      <c r="F33" s="18">
        <f t="shared" si="3"/>
        <v>26432.069706813018</v>
      </c>
      <c r="G33" s="3">
        <f t="shared" si="4"/>
        <v>-2159.0697068130175</v>
      </c>
      <c r="H33" s="4">
        <f t="shared" si="5"/>
        <v>2823.2810432627375</v>
      </c>
      <c r="I33" s="4">
        <f t="shared" si="6"/>
        <v>-11.631364245304402</v>
      </c>
      <c r="J33" s="4">
        <f t="shared" si="7"/>
        <v>11.631364245304402</v>
      </c>
    </row>
    <row r="34" spans="1:10" ht="16.3" x14ac:dyDescent="0.25">
      <c r="A34" s="7">
        <v>45352</v>
      </c>
      <c r="B34" s="6">
        <v>21821.9</v>
      </c>
      <c r="C34" s="4">
        <f t="shared" si="0"/>
        <v>25056.065940409215</v>
      </c>
      <c r="D34" s="3">
        <f t="shared" si="1"/>
        <v>-3234.1659404092134</v>
      </c>
      <c r="E34" s="20">
        <f t="shared" si="2"/>
        <v>10459829.330103012</v>
      </c>
      <c r="F34" s="18">
        <f t="shared" si="3"/>
        <v>24391.854603959495</v>
      </c>
      <c r="G34" s="3">
        <f t="shared" si="4"/>
        <v>-2569.9546039594934</v>
      </c>
      <c r="H34" s="4">
        <f t="shared" si="5"/>
        <v>3234.1659404092134</v>
      </c>
      <c r="I34" s="4">
        <f t="shared" si="6"/>
        <v>-14.820734859976506</v>
      </c>
      <c r="J34" s="4">
        <f t="shared" si="7"/>
        <v>14.820734859976506</v>
      </c>
    </row>
    <row r="35" spans="1:10" ht="16.3" x14ac:dyDescent="0.25">
      <c r="A35" s="7">
        <v>45383</v>
      </c>
      <c r="B35" s="6">
        <v>24698.6</v>
      </c>
      <c r="C35" s="4">
        <f t="shared" si="0"/>
        <v>22718.929078847646</v>
      </c>
      <c r="D35" s="3">
        <f t="shared" si="1"/>
        <v>1979.6709211523521</v>
      </c>
      <c r="E35" s="20">
        <f t="shared" si="2"/>
        <v>3919096.9560562023</v>
      </c>
      <c r="F35" s="18">
        <f t="shared" si="3"/>
        <v>22054.717742397926</v>
      </c>
      <c r="G35" s="3">
        <f t="shared" si="4"/>
        <v>2643.8822576020721</v>
      </c>
      <c r="H35" s="4">
        <f t="shared" si="5"/>
        <v>1979.6709211523521</v>
      </c>
      <c r="I35" s="4">
        <f t="shared" si="6"/>
        <v>8.015316338384979</v>
      </c>
      <c r="J35" s="4">
        <f t="shared" si="7"/>
        <v>8.015316338384979</v>
      </c>
    </row>
    <row r="36" spans="1:10" ht="16.3" x14ac:dyDescent="0.25">
      <c r="A36" s="7">
        <v>45413</v>
      </c>
      <c r="B36" s="6">
        <v>26071.4</v>
      </c>
      <c r="C36" s="4">
        <f t="shared" si="0"/>
        <v>24149.517975285438</v>
      </c>
      <c r="D36" s="3">
        <f t="shared" si="1"/>
        <v>1921.8820247145632</v>
      </c>
      <c r="E36" s="20">
        <f t="shared" si="2"/>
        <v>3693630.5169209489</v>
      </c>
      <c r="F36" s="18">
        <f t="shared" ref="F36:F58" si="8">C36+$N$5</f>
        <v>23485.306638835718</v>
      </c>
      <c r="G36" s="3">
        <f t="shared" si="4"/>
        <v>2586.0933611642831</v>
      </c>
      <c r="H36" s="4">
        <f t="shared" si="5"/>
        <v>1921.8820247145632</v>
      </c>
      <c r="I36" s="4">
        <f t="shared" si="6"/>
        <v>7.3716103650535185</v>
      </c>
      <c r="J36" s="4">
        <f t="shared" si="7"/>
        <v>7.3716103650535185</v>
      </c>
    </row>
    <row r="37" spans="1:10" ht="16.3" x14ac:dyDescent="0.25">
      <c r="A37" s="7">
        <v>45444</v>
      </c>
      <c r="B37" s="6">
        <v>27516.6</v>
      </c>
      <c r="C37" s="4">
        <f t="shared" si="0"/>
        <v>25538.346318139316</v>
      </c>
      <c r="D37" s="3">
        <f t="shared" si="1"/>
        <v>1978.2536818606823</v>
      </c>
      <c r="E37" s="20">
        <f t="shared" si="2"/>
        <v>3913487.6297953455</v>
      </c>
      <c r="F37" s="18">
        <f t="shared" si="8"/>
        <v>24874.134981689596</v>
      </c>
      <c r="G37" s="3">
        <f t="shared" si="4"/>
        <v>2642.4650183104022</v>
      </c>
      <c r="H37" s="4">
        <f t="shared" si="5"/>
        <v>1978.2536818606823</v>
      </c>
      <c r="I37" s="4">
        <f t="shared" si="6"/>
        <v>7.1893100232611671</v>
      </c>
      <c r="J37" s="4">
        <f t="shared" si="7"/>
        <v>7.1893100232611671</v>
      </c>
    </row>
    <row r="38" spans="1:10" ht="16.3" x14ac:dyDescent="0.25">
      <c r="A38" s="7">
        <v>45474</v>
      </c>
      <c r="B38" s="6">
        <v>27316.7</v>
      </c>
      <c r="C38" s="4">
        <f t="shared" si="0"/>
        <v>26967.911061131908</v>
      </c>
      <c r="D38" s="3">
        <f t="shared" si="1"/>
        <v>348.78893886809237</v>
      </c>
      <c r="E38" s="20">
        <f t="shared" si="2"/>
        <v>121653.72387672988</v>
      </c>
      <c r="F38" s="18">
        <f t="shared" si="8"/>
        <v>26303.699724682188</v>
      </c>
      <c r="G38" s="3">
        <f t="shared" si="4"/>
        <v>1013.0002753178123</v>
      </c>
      <c r="H38" s="4">
        <f t="shared" si="5"/>
        <v>348.78893886809237</v>
      </c>
      <c r="I38" s="4">
        <f t="shared" si="6"/>
        <v>1.2768340936792963</v>
      </c>
      <c r="J38" s="4">
        <f t="shared" si="7"/>
        <v>1.2768340936792963</v>
      </c>
    </row>
    <row r="39" spans="1:10" ht="16.3" x14ac:dyDescent="0.25">
      <c r="A39" s="7">
        <v>45505</v>
      </c>
      <c r="B39" s="6">
        <v>26052.9</v>
      </c>
      <c r="C39" s="4">
        <f t="shared" si="0"/>
        <v>27219.959812171081</v>
      </c>
      <c r="D39" s="3">
        <f t="shared" si="1"/>
        <v>-1167.0598121710791</v>
      </c>
      <c r="E39" s="20">
        <f t="shared" si="2"/>
        <v>1362028.6051847944</v>
      </c>
      <c r="F39" s="18">
        <f t="shared" si="8"/>
        <v>26555.748475721361</v>
      </c>
      <c r="G39" s="3">
        <f t="shared" si="4"/>
        <v>-502.84847572135914</v>
      </c>
      <c r="H39" s="4">
        <f t="shared" si="5"/>
        <v>1167.0598121710791</v>
      </c>
      <c r="I39" s="4">
        <f t="shared" si="6"/>
        <v>-4.4795773682433779</v>
      </c>
      <c r="J39" s="4">
        <f t="shared" si="7"/>
        <v>4.4795773682433779</v>
      </c>
    </row>
    <row r="40" spans="1:10" ht="16.3" x14ac:dyDescent="0.25">
      <c r="A40" s="7">
        <v>45536</v>
      </c>
      <c r="B40" s="6">
        <v>27472.6</v>
      </c>
      <c r="C40" s="4">
        <f t="shared" si="0"/>
        <v>26376.596003099789</v>
      </c>
      <c r="D40" s="3">
        <f t="shared" si="1"/>
        <v>1096.00399690021</v>
      </c>
      <c r="E40" s="20">
        <f t="shared" si="2"/>
        <v>1201224.7612212356</v>
      </c>
      <c r="F40" s="18">
        <f t="shared" si="8"/>
        <v>25712.384666650069</v>
      </c>
      <c r="G40" s="3">
        <f t="shared" si="4"/>
        <v>1760.21533334993</v>
      </c>
      <c r="H40" s="4">
        <f t="shared" si="5"/>
        <v>1096.00399690021</v>
      </c>
      <c r="I40" s="4">
        <f t="shared" si="6"/>
        <v>3.989444016584561</v>
      </c>
      <c r="J40" s="4">
        <f t="shared" si="7"/>
        <v>3.989444016584561</v>
      </c>
    </row>
    <row r="41" spans="1:10" ht="16.3" x14ac:dyDescent="0.25">
      <c r="A41" s="7">
        <v>45566</v>
      </c>
      <c r="B41" s="6">
        <v>19272.7</v>
      </c>
      <c r="C41" s="4">
        <f t="shared" si="0"/>
        <v>27168.612055699174</v>
      </c>
      <c r="D41" s="3">
        <f t="shared" si="1"/>
        <v>-7895.9120556991729</v>
      </c>
      <c r="E41" s="20">
        <f t="shared" si="2"/>
        <v>62345427.191335537</v>
      </c>
      <c r="F41" s="18">
        <f t="shared" si="8"/>
        <v>26504.400719249454</v>
      </c>
      <c r="G41" s="3">
        <f t="shared" si="4"/>
        <v>-7231.700719249453</v>
      </c>
      <c r="H41" s="4">
        <f t="shared" si="5"/>
        <v>7895.9120556991729</v>
      </c>
      <c r="I41" s="4">
        <f t="shared" si="6"/>
        <v>-40.969412981570677</v>
      </c>
      <c r="J41" s="4">
        <f t="shared" si="7"/>
        <v>40.969412981570677</v>
      </c>
    </row>
    <row r="42" spans="1:10" ht="16.3" x14ac:dyDescent="0.25">
      <c r="A42" s="7">
        <v>45597</v>
      </c>
      <c r="B42" s="6">
        <v>23276.2</v>
      </c>
      <c r="C42" s="4">
        <f t="shared" si="0"/>
        <v>21462.712154135072</v>
      </c>
      <c r="D42" s="3">
        <f t="shared" si="1"/>
        <v>1813.4878458649291</v>
      </c>
      <c r="E42" s="20">
        <f t="shared" si="2"/>
        <v>3288738.1670998209</v>
      </c>
      <c r="F42" s="18">
        <f t="shared" si="8"/>
        <v>20798.500817685352</v>
      </c>
      <c r="G42" s="3">
        <f t="shared" si="4"/>
        <v>2477.6991823146491</v>
      </c>
      <c r="H42" s="4">
        <f t="shared" si="5"/>
        <v>1813.4878458649291</v>
      </c>
      <c r="I42" s="4">
        <f t="shared" si="6"/>
        <v>7.7911679993509635</v>
      </c>
      <c r="J42" s="4">
        <f t="shared" si="7"/>
        <v>7.7911679993509635</v>
      </c>
    </row>
    <row r="43" spans="1:10" ht="16.3" x14ac:dyDescent="0.25">
      <c r="A43" s="7">
        <v>45627</v>
      </c>
      <c r="B43" s="6">
        <v>25111</v>
      </c>
      <c r="C43" s="4">
        <f t="shared" si="0"/>
        <v>22773.21055485366</v>
      </c>
      <c r="D43" s="3">
        <f t="shared" si="1"/>
        <v>2337.7894451463399</v>
      </c>
      <c r="E43" s="20">
        <f t="shared" si="2"/>
        <v>5465259.4898376316</v>
      </c>
      <c r="F43" s="18">
        <f t="shared" si="8"/>
        <v>22108.99921840394</v>
      </c>
      <c r="G43" s="3">
        <f t="shared" si="4"/>
        <v>3002.0007815960598</v>
      </c>
      <c r="H43" s="4">
        <f t="shared" si="5"/>
        <v>2337.7894451463399</v>
      </c>
      <c r="I43" s="4">
        <f t="shared" si="6"/>
        <v>9.3098221701498929</v>
      </c>
      <c r="J43" s="4">
        <f t="shared" si="7"/>
        <v>9.3098221701498929</v>
      </c>
    </row>
    <row r="44" spans="1:10" ht="16.3" x14ac:dyDescent="0.25">
      <c r="A44" s="7">
        <v>45658</v>
      </c>
      <c r="B44" s="6">
        <v>21198.400000000001</v>
      </c>
      <c r="C44" s="4">
        <f t="shared" si="0"/>
        <v>24462.590131378962</v>
      </c>
      <c r="D44" s="3">
        <f t="shared" si="1"/>
        <v>-3264.1901313789604</v>
      </c>
      <c r="E44" s="20">
        <f t="shared" si="2"/>
        <v>10654937.213791795</v>
      </c>
      <c r="F44" s="18">
        <f t="shared" si="8"/>
        <v>23798.378794929242</v>
      </c>
      <c r="G44" s="3">
        <f t="shared" si="4"/>
        <v>-2599.9787949292404</v>
      </c>
      <c r="H44" s="4">
        <f t="shared" si="5"/>
        <v>3264.1901313789604</v>
      </c>
      <c r="I44" s="4">
        <f t="shared" si="6"/>
        <v>-15.398285395968376</v>
      </c>
      <c r="J44" s="4">
        <f t="shared" si="7"/>
        <v>15.398285395968376</v>
      </c>
    </row>
    <row r="45" spans="1:10" ht="16.3" x14ac:dyDescent="0.25">
      <c r="A45" s="7">
        <v>45689</v>
      </c>
      <c r="B45" s="6">
        <v>15355.3</v>
      </c>
      <c r="C45" s="4">
        <f t="shared" si="0"/>
        <v>22103.75659600817</v>
      </c>
      <c r="D45" s="3">
        <f t="shared" si="1"/>
        <v>-6748.4565960081709</v>
      </c>
      <c r="E45" s="20">
        <f t="shared" si="2"/>
        <v>45541666.42820619</v>
      </c>
      <c r="F45" s="18">
        <f t="shared" si="8"/>
        <v>21439.54525955845</v>
      </c>
      <c r="G45" s="3">
        <f t="shared" si="4"/>
        <v>-6084.2452595584509</v>
      </c>
      <c r="H45" s="4">
        <f t="shared" si="5"/>
        <v>6748.4565960081709</v>
      </c>
      <c r="I45" s="4">
        <f t="shared" si="6"/>
        <v>-43.948712145045498</v>
      </c>
      <c r="J45" s="4">
        <f t="shared" si="7"/>
        <v>43.948712145045498</v>
      </c>
    </row>
    <row r="46" spans="1:10" ht="16.3" x14ac:dyDescent="0.25">
      <c r="A46" s="7">
        <v>45717</v>
      </c>
      <c r="B46" s="6">
        <v>13494.8</v>
      </c>
      <c r="C46" s="4">
        <f t="shared" si="0"/>
        <v>17227.053619171002</v>
      </c>
      <c r="D46" s="3">
        <f t="shared" si="1"/>
        <v>-3732.2536191710024</v>
      </c>
      <c r="E46" s="20">
        <f t="shared" si="2"/>
        <v>13929717.077815045</v>
      </c>
      <c r="F46" s="18">
        <f t="shared" si="8"/>
        <v>16562.842282721282</v>
      </c>
      <c r="G46" s="3">
        <f t="shared" si="4"/>
        <v>-3068.0422827212824</v>
      </c>
      <c r="H46" s="4">
        <f t="shared" si="5"/>
        <v>3732.2536191710024</v>
      </c>
      <c r="I46" s="4">
        <f t="shared" si="6"/>
        <v>-27.656976162455187</v>
      </c>
      <c r="J46" s="4">
        <f t="shared" si="7"/>
        <v>27.656976162455187</v>
      </c>
    </row>
    <row r="47" spans="1:10" ht="16.3" x14ac:dyDescent="0.25">
      <c r="A47" s="7">
        <v>45748</v>
      </c>
      <c r="B47" s="6">
        <v>16201.6</v>
      </c>
      <c r="C47" s="4">
        <f t="shared" si="0"/>
        <v>14529.97880273241</v>
      </c>
      <c r="D47" s="3">
        <f t="shared" si="1"/>
        <v>1671.6211972675901</v>
      </c>
      <c r="E47" s="20">
        <f t="shared" si="2"/>
        <v>2794317.4271543315</v>
      </c>
      <c r="F47" s="18">
        <f t="shared" si="8"/>
        <v>13865.76746628269</v>
      </c>
      <c r="G47" s="3">
        <f t="shared" si="4"/>
        <v>2335.8325337173101</v>
      </c>
      <c r="H47" s="4">
        <f t="shared" si="5"/>
        <v>1671.6211972675901</v>
      </c>
      <c r="I47" s="4">
        <f t="shared" si="6"/>
        <v>10.317630340630494</v>
      </c>
      <c r="J47" s="4">
        <f t="shared" si="7"/>
        <v>10.317630340630494</v>
      </c>
    </row>
    <row r="48" spans="1:10" ht="16.3" x14ac:dyDescent="0.25">
      <c r="A48" s="7">
        <v>45778</v>
      </c>
      <c r="B48" s="6">
        <v>20453.5</v>
      </c>
      <c r="C48" s="4">
        <f t="shared" si="0"/>
        <v>15737.958724197862</v>
      </c>
      <c r="D48" s="3">
        <f t="shared" si="1"/>
        <v>4715.5412758021375</v>
      </c>
      <c r="E48" s="20">
        <f t="shared" si="2"/>
        <v>22236329.523793653</v>
      </c>
      <c r="F48" s="18">
        <f t="shared" si="8"/>
        <v>15073.747387748143</v>
      </c>
      <c r="G48" s="3">
        <f t="shared" si="4"/>
        <v>5379.7526122518575</v>
      </c>
      <c r="H48" s="4">
        <f t="shared" si="5"/>
        <v>4715.5412758021375</v>
      </c>
      <c r="I48" s="4">
        <f t="shared" si="6"/>
        <v>23.054935711746829</v>
      </c>
      <c r="J48" s="4">
        <f t="shared" si="7"/>
        <v>23.054935711746829</v>
      </c>
    </row>
    <row r="49" spans="1:10" ht="16.3" x14ac:dyDescent="0.25">
      <c r="A49" s="7">
        <v>45809</v>
      </c>
      <c r="B49" s="6">
        <v>20186.900000000001</v>
      </c>
      <c r="C49" s="4">
        <f t="shared" si="0"/>
        <v>19145.596285459727</v>
      </c>
      <c r="D49" s="3">
        <f t="shared" si="1"/>
        <v>1041.3037145402741</v>
      </c>
      <c r="E49" s="20">
        <f t="shared" si="2"/>
        <v>1084313.4259153726</v>
      </c>
      <c r="F49" s="18">
        <f t="shared" si="8"/>
        <v>18481.384949010007</v>
      </c>
      <c r="G49" s="3">
        <f t="shared" si="4"/>
        <v>1705.5150509899941</v>
      </c>
      <c r="H49" s="4">
        <f t="shared" si="5"/>
        <v>1041.3037145402741</v>
      </c>
      <c r="I49" s="4">
        <f t="shared" si="6"/>
        <v>5.1583141271828463</v>
      </c>
      <c r="J49" s="4">
        <f t="shared" si="7"/>
        <v>5.1583141271828463</v>
      </c>
    </row>
    <row r="50" spans="1:10" ht="16.3" x14ac:dyDescent="0.25">
      <c r="A50" s="7">
        <v>45839</v>
      </c>
      <c r="B50" s="6">
        <v>13949.1</v>
      </c>
      <c r="C50" s="4">
        <f t="shared" si="0"/>
        <v>19898.083739775422</v>
      </c>
      <c r="D50" s="3">
        <f t="shared" si="1"/>
        <v>-5948.9837397754218</v>
      </c>
      <c r="E50" s="20">
        <f t="shared" si="2"/>
        <v>35390407.536112361</v>
      </c>
      <c r="F50" s="18">
        <f t="shared" si="8"/>
        <v>19233.872403325702</v>
      </c>
      <c r="G50" s="3">
        <f t="shared" si="4"/>
        <v>-5284.7724033257018</v>
      </c>
      <c r="H50" s="4">
        <f t="shared" si="5"/>
        <v>5948.9837397754218</v>
      </c>
      <c r="I50" s="4">
        <f t="shared" si="6"/>
        <v>-42.64779620029551</v>
      </c>
      <c r="J50" s="4">
        <f t="shared" si="7"/>
        <v>42.64779620029551</v>
      </c>
    </row>
    <row r="51" spans="1:10" ht="16.3" x14ac:dyDescent="0.25">
      <c r="A51" s="7">
        <v>45870</v>
      </c>
      <c r="B51" s="6">
        <v>12749.4</v>
      </c>
      <c r="C51" s="4">
        <f t="shared" si="0"/>
        <v>15599.111626643737</v>
      </c>
      <c r="D51" s="3">
        <f t="shared" si="1"/>
        <v>-2849.711626643737</v>
      </c>
      <c r="E51" s="20">
        <f t="shared" si="2"/>
        <v>8120856.3550284933</v>
      </c>
      <c r="F51" s="18">
        <f t="shared" si="8"/>
        <v>14934.900290194017</v>
      </c>
      <c r="G51" s="3">
        <f t="shared" si="4"/>
        <v>-2185.500290194017</v>
      </c>
      <c r="H51" s="4">
        <f t="shared" si="5"/>
        <v>2849.711626643737</v>
      </c>
      <c r="I51" s="4">
        <f t="shared" si="6"/>
        <v>-22.351731270834215</v>
      </c>
      <c r="J51" s="4">
        <f t="shared" si="7"/>
        <v>22.351731270834215</v>
      </c>
    </row>
    <row r="52" spans="1:10" ht="16.3" x14ac:dyDescent="0.25">
      <c r="A52" s="7">
        <v>45901</v>
      </c>
      <c r="B52" s="6">
        <v>13183.5</v>
      </c>
      <c r="C52" s="4">
        <f t="shared" si="0"/>
        <v>13539.796733664884</v>
      </c>
      <c r="D52" s="3">
        <f t="shared" si="1"/>
        <v>-356.2967336648835</v>
      </c>
      <c r="E52" s="20">
        <f t="shared" si="2"/>
        <v>126947.36242026494</v>
      </c>
      <c r="F52" s="18">
        <f t="shared" si="8"/>
        <v>12875.585397215164</v>
      </c>
      <c r="G52" s="3">
        <f t="shared" si="4"/>
        <v>307.91460278483646</v>
      </c>
      <c r="H52" s="4">
        <f t="shared" si="5"/>
        <v>356.2967336648835</v>
      </c>
      <c r="I52" s="4">
        <f t="shared" si="6"/>
        <v>-2.7025959241846516</v>
      </c>
      <c r="J52" s="4">
        <f t="shared" si="7"/>
        <v>2.7025959241846516</v>
      </c>
    </row>
    <row r="53" spans="1:10" ht="16.3" x14ac:dyDescent="0.25">
      <c r="A53" s="7">
        <v>45931</v>
      </c>
      <c r="B53" s="6">
        <v>13221</v>
      </c>
      <c r="C53" s="4">
        <f t="shared" si="0"/>
        <v>13282.32255168249</v>
      </c>
      <c r="D53" s="3">
        <f t="shared" si="1"/>
        <v>-61.322551682489575</v>
      </c>
      <c r="E53" s="20">
        <f t="shared" si="2"/>
        <v>3760.4553448516049</v>
      </c>
      <c r="F53" s="18">
        <f t="shared" si="8"/>
        <v>12618.11121523277</v>
      </c>
      <c r="G53" s="3">
        <f t="shared" si="4"/>
        <v>602.88878476723039</v>
      </c>
      <c r="H53" s="4">
        <f t="shared" si="5"/>
        <v>61.322551682489575</v>
      </c>
      <c r="I53" s="4">
        <f t="shared" si="6"/>
        <v>-0.46382687907487763</v>
      </c>
      <c r="J53" s="4">
        <f t="shared" si="7"/>
        <v>0.46382687907487763</v>
      </c>
    </row>
    <row r="54" spans="1:10" ht="16.3" x14ac:dyDescent="0.25">
      <c r="A54" s="7">
        <v>45962</v>
      </c>
      <c r="B54" s="6">
        <v>18164.099999999999</v>
      </c>
      <c r="C54" s="4">
        <f t="shared" si="0"/>
        <v>13238.008438361505</v>
      </c>
      <c r="D54" s="3">
        <f t="shared" si="1"/>
        <v>4926.0915616384937</v>
      </c>
      <c r="E54" s="20">
        <f t="shared" si="2"/>
        <v>24266378.073645972</v>
      </c>
      <c r="F54" s="18">
        <f t="shared" si="8"/>
        <v>12573.797101911785</v>
      </c>
      <c r="G54" s="3">
        <f t="shared" si="4"/>
        <v>5590.3028980882136</v>
      </c>
      <c r="H54" s="4">
        <f t="shared" si="5"/>
        <v>4926.0915616384937</v>
      </c>
      <c r="I54" s="4">
        <f t="shared" si="6"/>
        <v>27.119931962709376</v>
      </c>
      <c r="J54" s="4">
        <f t="shared" si="7"/>
        <v>27.119931962709376</v>
      </c>
    </row>
    <row r="55" spans="1:10" ht="16.3" x14ac:dyDescent="0.25">
      <c r="A55" s="7">
        <v>45992</v>
      </c>
      <c r="B55" s="6">
        <v>18027.400000000001</v>
      </c>
      <c r="C55" s="4">
        <f t="shared" si="0"/>
        <v>16797.798005212237</v>
      </c>
      <c r="D55" s="3">
        <f t="shared" si="1"/>
        <v>1229.6019947877649</v>
      </c>
      <c r="E55" s="20">
        <f t="shared" si="2"/>
        <v>1511921.0655860505</v>
      </c>
      <c r="F55" s="18">
        <f t="shared" si="8"/>
        <v>16133.586668762517</v>
      </c>
      <c r="G55" s="3">
        <f t="shared" si="4"/>
        <v>1893.8133312374848</v>
      </c>
      <c r="H55" s="4">
        <f t="shared" si="5"/>
        <v>1229.6019947877649</v>
      </c>
      <c r="I55" s="4">
        <f t="shared" si="6"/>
        <v>6.820739512008192</v>
      </c>
      <c r="J55" s="4">
        <f t="shared" si="7"/>
        <v>6.820739512008192</v>
      </c>
    </row>
    <row r="56" spans="1:10" ht="16.3" x14ac:dyDescent="0.25">
      <c r="A56" s="7">
        <v>46023</v>
      </c>
      <c r="B56" s="6">
        <v>18065.5</v>
      </c>
      <c r="C56" s="4">
        <f t="shared" si="0"/>
        <v>17686.357281395976</v>
      </c>
      <c r="D56" s="3">
        <f t="shared" si="1"/>
        <v>379.14271860402368</v>
      </c>
      <c r="E56" s="20">
        <f t="shared" si="2"/>
        <v>143749.2010704499</v>
      </c>
      <c r="F56" s="18">
        <f t="shared" si="8"/>
        <v>17022.145944946256</v>
      </c>
      <c r="G56" s="3">
        <f t="shared" si="4"/>
        <v>1043.3540550537437</v>
      </c>
      <c r="H56" s="4">
        <f t="shared" si="5"/>
        <v>379.14271860402368</v>
      </c>
      <c r="I56" s="4">
        <f t="shared" si="6"/>
        <v>2.0987114588803171</v>
      </c>
      <c r="J56" s="4">
        <f t="shared" si="7"/>
        <v>2.0987114588803171</v>
      </c>
    </row>
    <row r="57" spans="1:10" ht="16.3" x14ac:dyDescent="0.25">
      <c r="A57" s="7">
        <v>46054</v>
      </c>
      <c r="B57" s="6">
        <v>12633.1</v>
      </c>
      <c r="C57" s="4">
        <f t="shared" si="0"/>
        <v>17960.34088018745</v>
      </c>
      <c r="D57" s="3">
        <f t="shared" si="1"/>
        <v>-5327.2408801874499</v>
      </c>
      <c r="E57" s="20">
        <f t="shared" si="2"/>
        <v>28379495.395540357</v>
      </c>
      <c r="F57" s="18">
        <f t="shared" si="8"/>
        <v>17296.12954373773</v>
      </c>
      <c r="G57" s="3">
        <f t="shared" si="4"/>
        <v>-4663.0295437377299</v>
      </c>
      <c r="H57" s="4">
        <f t="shared" si="5"/>
        <v>5327.2408801874499</v>
      </c>
      <c r="I57" s="4">
        <f t="shared" si="6"/>
        <v>-42.168912461608393</v>
      </c>
      <c r="J57" s="4">
        <f t="shared" si="7"/>
        <v>42.168912461608393</v>
      </c>
    </row>
    <row r="58" spans="1:10" ht="16.3" x14ac:dyDescent="0.25">
      <c r="A58" s="7">
        <v>46082</v>
      </c>
      <c r="B58" s="6">
        <v>17500.8</v>
      </c>
      <c r="C58" s="4">
        <f t="shared" si="0"/>
        <v>14110.664870697214</v>
      </c>
      <c r="D58" s="3">
        <f t="shared" si="1"/>
        <v>3390.1351293027856</v>
      </c>
      <c r="E58" s="20">
        <f t="shared" si="2"/>
        <v>11493016.194932815</v>
      </c>
      <c r="F58" s="18">
        <f t="shared" si="8"/>
        <v>13446.453534247494</v>
      </c>
      <c r="G58" s="3">
        <f t="shared" si="4"/>
        <v>4054.3464657525055</v>
      </c>
      <c r="H58" s="4">
        <f t="shared" si="5"/>
        <v>3390.1351293027856</v>
      </c>
      <c r="I58" s="4">
        <f t="shared" si="6"/>
        <v>19.371315193035667</v>
      </c>
      <c r="J58" s="4">
        <f t="shared" si="7"/>
        <v>19.371315193035667</v>
      </c>
    </row>
    <row r="59" spans="1:10" x14ac:dyDescent="0.25">
      <c r="C59" s="31">
        <f>(B58*$N$2)+(C58*(1-$N$2))</f>
        <v>16560.511267683825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Simple Moving Average</vt:lpstr>
      <vt:lpstr>Weighted Moving Average</vt:lpstr>
      <vt:lpstr>Double Moving Average</vt:lpstr>
      <vt:lpstr>Exponential Smoothning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Wat</dc:creator>
  <cp:lastModifiedBy>Aryan P. Bhavsar</cp:lastModifiedBy>
  <dcterms:created xsi:type="dcterms:W3CDTF">2026-10-29T09:35:23Z</dcterms:created>
  <dcterms:modified xsi:type="dcterms:W3CDTF">2026-10-29T18:33:42Z</dcterms:modified>
</cp:coreProperties>
</file>