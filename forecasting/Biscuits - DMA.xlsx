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rya\Desktop\"/>
    </mc:Choice>
  </mc:AlternateContent>
  <xr:revisionPtr revIDLastSave="0" documentId="13_ncr:1_{18433185-47D8-48B5-8E11-E83BB3D6B168}" xr6:coauthVersionLast="47" xr6:coauthVersionMax="47" xr10:uidLastSave="{00000000-0000-0000-0000-000000000000}"/>
  <bookViews>
    <workbookView xWindow="-109" yWindow="-109" windowWidth="26301" windowHeight="14169" activeTab="1" xr2:uid="{63AA211E-7F89-4A65-84D1-5B908DBE8E6E}"/>
  </bookViews>
  <sheets>
    <sheet name="Correlogram" sheetId="2" r:id="rId1"/>
    <sheet name="K = 3" sheetId="1" r:id="rId2"/>
    <sheet name="Shapiro Wilk Test" sheetId="4" r:id="rId3"/>
    <sheet name="Ljung Box Text" sheetId="3" r:id="rId4"/>
    <sheet name="K = 5" sheetId="5" r:id="rId5"/>
    <sheet name="Ljung Box Test (K = 5)" sheetId="6" r:id="rId6"/>
    <sheet name="Shapiro Wilk Test (K = 5)" sheetId="7" r:id="rId7"/>
    <sheet name="K = 4" sheetId="8" r:id="rId8"/>
    <sheet name="Ljung Box Test (K = 4)" sheetId="9" r:id="rId9"/>
    <sheet name="Shapiro Wilk Test (K = 4)" sheetId="11" r:id="rId10"/>
  </sheets>
  <externalReferences>
    <externalReference r:id="rId11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" i="1" l="1"/>
  <c r="G61" i="1"/>
  <c r="C7" i="1"/>
  <c r="E61" i="1"/>
  <c r="G62" i="1"/>
  <c r="I73" i="5" l="1"/>
  <c r="I64" i="8"/>
  <c r="I65" i="8"/>
  <c r="I66" i="8"/>
  <c r="I67" i="8"/>
  <c r="I68" i="8"/>
  <c r="I69" i="8"/>
  <c r="I70" i="8"/>
  <c r="I71" i="8"/>
  <c r="I72" i="8"/>
  <c r="I73" i="8"/>
  <c r="G63" i="8"/>
  <c r="G64" i="8"/>
  <c r="G65" i="8"/>
  <c r="G66" i="8"/>
  <c r="G67" i="8"/>
  <c r="G68" i="8"/>
  <c r="G69" i="8"/>
  <c r="G70" i="8"/>
  <c r="G71" i="8"/>
  <c r="G72" i="8"/>
  <c r="G73" i="8"/>
  <c r="G62" i="8"/>
  <c r="I62" i="8" s="1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14" i="5"/>
  <c r="I63" i="5"/>
  <c r="I64" i="5"/>
  <c r="I65" i="5"/>
  <c r="I66" i="5"/>
  <c r="I67" i="5"/>
  <c r="I68" i="5"/>
  <c r="I69" i="5"/>
  <c r="I70" i="5"/>
  <c r="I71" i="5"/>
  <c r="I72" i="5"/>
  <c r="G63" i="5"/>
  <c r="G64" i="5"/>
  <c r="G65" i="5"/>
  <c r="G66" i="5"/>
  <c r="G67" i="5"/>
  <c r="G68" i="5"/>
  <c r="G69" i="5"/>
  <c r="G70" i="5"/>
  <c r="G71" i="5"/>
  <c r="G72" i="5"/>
  <c r="G73" i="5"/>
  <c r="G62" i="5"/>
  <c r="I62" i="5"/>
  <c r="M62" i="5"/>
  <c r="H3" i="11"/>
  <c r="E9" i="11"/>
  <c r="E6" i="11"/>
  <c r="E7" i="11"/>
  <c r="E8" i="11"/>
  <c r="E5" i="11"/>
  <c r="E4" i="11"/>
  <c r="E16" i="11"/>
  <c r="E15" i="11" a="1"/>
  <c r="E15" i="11" s="1"/>
  <c r="E14" i="11"/>
  <c r="E13" i="11"/>
  <c r="E12" i="11"/>
  <c r="E11" i="11" s="1" a="1"/>
  <c r="E11" i="11" s="1"/>
  <c r="E18" i="11" s="1"/>
  <c r="E3" i="11"/>
  <c r="B19" i="11"/>
  <c r="B18" i="11"/>
  <c r="B17" i="11"/>
  <c r="B16" i="11"/>
  <c r="B15" i="11"/>
  <c r="B14" i="11"/>
  <c r="B12" i="11" s="1"/>
  <c r="B13" i="11"/>
  <c r="B11" i="11"/>
  <c r="B10" i="11"/>
  <c r="B9" i="11"/>
  <c r="B8" i="11"/>
  <c r="B7" i="11"/>
  <c r="B6" i="11"/>
  <c r="B5" i="11"/>
  <c r="B4" i="11"/>
  <c r="B3" i="11"/>
  <c r="D6" i="9"/>
  <c r="D7" i="9" s="1"/>
  <c r="D8" i="9" s="1"/>
  <c r="D9" i="9" s="1"/>
  <c r="D10" i="9" s="1"/>
  <c r="D5" i="9"/>
  <c r="A6" i="9"/>
  <c r="A7" i="9"/>
  <c r="A8" i="9"/>
  <c r="A9" i="9"/>
  <c r="A10" i="9"/>
  <c r="A11" i="9"/>
  <c r="A12" i="9"/>
  <c r="A13" i="9"/>
  <c r="A14" i="9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" i="9"/>
  <c r="N2" i="8"/>
  <c r="M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1" i="8"/>
  <c r="L52" i="8"/>
  <c r="L53" i="8"/>
  <c r="L54" i="8"/>
  <c r="L55" i="8"/>
  <c r="L56" i="8"/>
  <c r="L57" i="8"/>
  <c r="L58" i="8"/>
  <c r="L59" i="8"/>
  <c r="L60" i="8"/>
  <c r="L61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L12" i="8"/>
  <c r="K12" i="8"/>
  <c r="K2" i="8"/>
  <c r="H2" i="8"/>
  <c r="I12" i="8" s="1"/>
  <c r="G12" i="8"/>
  <c r="F12" i="8"/>
  <c r="F11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E11" i="8"/>
  <c r="E13" i="5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11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E49" i="8"/>
  <c r="H3" i="7"/>
  <c r="E9" i="7"/>
  <c r="E6" i="7"/>
  <c r="E7" i="7"/>
  <c r="E8" i="7"/>
  <c r="E5" i="7"/>
  <c r="E4" i="7"/>
  <c r="E16" i="7"/>
  <c r="E15" i="7" a="1"/>
  <c r="E15" i="7" s="1"/>
  <c r="E14" i="7"/>
  <c r="E13" i="7"/>
  <c r="E12" i="7"/>
  <c r="E11" i="7" s="1" a="1"/>
  <c r="E11" i="7" s="1"/>
  <c r="E18" i="7" s="1"/>
  <c r="E3" i="7"/>
  <c r="B19" i="7"/>
  <c r="B18" i="7"/>
  <c r="B17" i="7"/>
  <c r="B16" i="7"/>
  <c r="B15" i="7"/>
  <c r="B14" i="7"/>
  <c r="B13" i="7"/>
  <c r="B11" i="7"/>
  <c r="B10" i="7"/>
  <c r="B9" i="7"/>
  <c r="B8" i="7"/>
  <c r="B7" i="7"/>
  <c r="B6" i="7"/>
  <c r="B5" i="7"/>
  <c r="B4" i="7"/>
  <c r="B3" i="7"/>
  <c r="H2" i="5"/>
  <c r="I20" i="5" s="1"/>
  <c r="F13" i="5"/>
  <c r="G14" i="5"/>
  <c r="D6" i="6"/>
  <c r="D7" i="6"/>
  <c r="D8" i="6"/>
  <c r="D9" i="6" s="1"/>
  <c r="D10" i="6" s="1"/>
  <c r="D5" i="6"/>
  <c r="A6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" i="6"/>
  <c r="I15" i="5"/>
  <c r="I16" i="5"/>
  <c r="I17" i="5"/>
  <c r="I18" i="5"/>
  <c r="I19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14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D60" i="5" s="1"/>
  <c r="C61" i="5"/>
  <c r="G63" i="1"/>
  <c r="G64" i="1"/>
  <c r="G65" i="1"/>
  <c r="G66" i="1"/>
  <c r="G67" i="1"/>
  <c r="G68" i="1"/>
  <c r="G69" i="1"/>
  <c r="G70" i="1"/>
  <c r="G71" i="1"/>
  <c r="G72" i="1"/>
  <c r="G73" i="1"/>
  <c r="D6" i="3"/>
  <c r="D7" i="3"/>
  <c r="D8" i="3"/>
  <c r="D9" i="3"/>
  <c r="D10" i="3"/>
  <c r="D5" i="3"/>
  <c r="A6" i="3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" i="3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9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H4" i="11"/>
  <c r="B20" i="11"/>
  <c r="B20" i="7"/>
  <c r="H12" i="7"/>
  <c r="H5" i="11"/>
  <c r="H4" i="7"/>
  <c r="B21" i="11"/>
  <c r="B21" i="7"/>
  <c r="B4" i="9" a="1"/>
  <c r="H12" i="11"/>
  <c r="H11" i="7"/>
  <c r="H5" i="7"/>
  <c r="H11" i="11"/>
  <c r="F9" i="1" l="1"/>
  <c r="E9" i="1"/>
  <c r="G10" i="1" s="1"/>
  <c r="H7" i="7"/>
  <c r="H7" i="11"/>
  <c r="H14" i="11"/>
  <c r="H14" i="7"/>
  <c r="I63" i="8"/>
  <c r="B19" i="9"/>
  <c r="B35" i="9"/>
  <c r="B51" i="9"/>
  <c r="B22" i="9"/>
  <c r="B23" i="9"/>
  <c r="B8" i="9"/>
  <c r="B25" i="9"/>
  <c r="B11" i="9"/>
  <c r="B29" i="9"/>
  <c r="B32" i="9"/>
  <c r="B34" i="9"/>
  <c r="B4" i="9"/>
  <c r="B20" i="9"/>
  <c r="B36" i="9"/>
  <c r="B52" i="9"/>
  <c r="B38" i="9"/>
  <c r="B7" i="9"/>
  <c r="B40" i="9"/>
  <c r="B9" i="9"/>
  <c r="B27" i="9"/>
  <c r="B44" i="9"/>
  <c r="B30" i="9"/>
  <c r="B47" i="9"/>
  <c r="B48" i="9"/>
  <c r="B50" i="9"/>
  <c r="B5" i="9"/>
  <c r="B21" i="9"/>
  <c r="B37" i="9"/>
  <c r="B53" i="9"/>
  <c r="B6" i="9"/>
  <c r="B39" i="9"/>
  <c r="B24" i="9"/>
  <c r="B41" i="9"/>
  <c r="B42" i="9"/>
  <c r="B28" i="9"/>
  <c r="B45" i="9"/>
  <c r="B46" i="9"/>
  <c r="B31" i="9"/>
  <c r="B10" i="9"/>
  <c r="B26" i="9"/>
  <c r="B43" i="9"/>
  <c r="B12" i="9"/>
  <c r="B13" i="9"/>
  <c r="B14" i="9"/>
  <c r="B15" i="9"/>
  <c r="B16" i="9"/>
  <c r="B17" i="9"/>
  <c r="B33" i="9"/>
  <c r="B49" i="9"/>
  <c r="B18" i="9"/>
  <c r="E58" i="8"/>
  <c r="G50" i="8"/>
  <c r="I50" i="8" s="1"/>
  <c r="E12" i="8"/>
  <c r="G13" i="8" s="1"/>
  <c r="H13" i="8" s="1"/>
  <c r="E19" i="8"/>
  <c r="E24" i="8"/>
  <c r="G25" i="8" s="1"/>
  <c r="E42" i="8"/>
  <c r="G43" i="8" s="1"/>
  <c r="E50" i="8"/>
  <c r="G51" i="8" s="1"/>
  <c r="E31" i="8"/>
  <c r="E32" i="8"/>
  <c r="G33" i="8" s="1"/>
  <c r="E17" i="8"/>
  <c r="E30" i="8"/>
  <c r="E45" i="8"/>
  <c r="I13" i="8"/>
  <c r="E43" i="8"/>
  <c r="G59" i="8"/>
  <c r="E44" i="8"/>
  <c r="G45" i="8" s="1"/>
  <c r="E55" i="8"/>
  <c r="E23" i="8"/>
  <c r="E33" i="8"/>
  <c r="E40" i="8"/>
  <c r="E18" i="8"/>
  <c r="G19" i="8" s="1"/>
  <c r="E16" i="8"/>
  <c r="E21" i="8"/>
  <c r="E53" i="8"/>
  <c r="E56" i="8"/>
  <c r="E38" i="8"/>
  <c r="E26" i="8"/>
  <c r="E54" i="8"/>
  <c r="G55" i="8" s="1"/>
  <c r="E13" i="8"/>
  <c r="E22" i="8"/>
  <c r="E35" i="8"/>
  <c r="E61" i="8"/>
  <c r="B12" i="7"/>
  <c r="D49" i="5"/>
  <c r="D33" i="5"/>
  <c r="D17" i="5"/>
  <c r="D57" i="5"/>
  <c r="D41" i="5"/>
  <c r="D25" i="5"/>
  <c r="D56" i="5"/>
  <c r="D40" i="5"/>
  <c r="D24" i="5"/>
  <c r="D55" i="5"/>
  <c r="D39" i="5"/>
  <c r="D23" i="5"/>
  <c r="E23" i="5" s="1"/>
  <c r="D54" i="5"/>
  <c r="D38" i="5"/>
  <c r="D22" i="5"/>
  <c r="E22" i="5" s="1"/>
  <c r="D53" i="5"/>
  <c r="E53" i="5" s="1"/>
  <c r="D37" i="5"/>
  <c r="D21" i="5"/>
  <c r="D36" i="5"/>
  <c r="D20" i="5"/>
  <c r="D51" i="5"/>
  <c r="E51" i="5" s="1"/>
  <c r="D35" i="5"/>
  <c r="D19" i="5"/>
  <c r="D50" i="5"/>
  <c r="E50" i="5" s="1"/>
  <c r="D34" i="5"/>
  <c r="E34" i="5" s="1"/>
  <c r="D18" i="5"/>
  <c r="E18" i="5" s="1"/>
  <c r="D48" i="5"/>
  <c r="E48" i="5" s="1"/>
  <c r="D32" i="5"/>
  <c r="E32" i="5" s="1"/>
  <c r="D16" i="5"/>
  <c r="E16" i="5" s="1"/>
  <c r="D47" i="5"/>
  <c r="D31" i="5"/>
  <c r="E31" i="5" s="1"/>
  <c r="D15" i="5"/>
  <c r="D46" i="5"/>
  <c r="D30" i="5"/>
  <c r="D14" i="5"/>
  <c r="D61" i="5"/>
  <c r="D45" i="5"/>
  <c r="D29" i="5"/>
  <c r="E29" i="5" s="1"/>
  <c r="D59" i="5"/>
  <c r="D43" i="5"/>
  <c r="E43" i="5" s="1"/>
  <c r="D27" i="5"/>
  <c r="D58" i="5"/>
  <c r="E58" i="5" s="1"/>
  <c r="D42" i="5"/>
  <c r="D26" i="5"/>
  <c r="D44" i="5"/>
  <c r="D28" i="5"/>
  <c r="D52" i="5"/>
  <c r="D13" i="5"/>
  <c r="E61" i="5"/>
  <c r="E20" i="5"/>
  <c r="E45" i="5"/>
  <c r="E35" i="5"/>
  <c r="E60" i="5"/>
  <c r="E17" i="5"/>
  <c r="E49" i="5"/>
  <c r="E26" i="5"/>
  <c r="E39" i="5"/>
  <c r="G30" i="5"/>
  <c r="E5" i="9"/>
  <c r="I4" i="9"/>
  <c r="E10" i="9"/>
  <c r="E8" i="9"/>
  <c r="E7" i="9"/>
  <c r="E9" i="9"/>
  <c r="E6" i="9"/>
  <c r="E4" i="9"/>
  <c r="H10" i="1" l="1"/>
  <c r="H2" i="1" s="1"/>
  <c r="I10" i="1"/>
  <c r="J4" i="9"/>
  <c r="G27" i="8"/>
  <c r="G39" i="8"/>
  <c r="G56" i="8"/>
  <c r="G57" i="8"/>
  <c r="G36" i="8"/>
  <c r="E52" i="8"/>
  <c r="G53" i="8" s="1"/>
  <c r="I53" i="8" s="1"/>
  <c r="G22" i="8"/>
  <c r="I22" i="8" s="1"/>
  <c r="G46" i="8"/>
  <c r="I46" i="8" s="1"/>
  <c r="G17" i="8"/>
  <c r="I17" i="8" s="1"/>
  <c r="H50" i="8"/>
  <c r="G41" i="8"/>
  <c r="H41" i="8" s="1"/>
  <c r="E46" i="8"/>
  <c r="G47" i="8" s="1"/>
  <c r="I47" i="8" s="1"/>
  <c r="E27" i="8"/>
  <c r="I59" i="8"/>
  <c r="H59" i="8"/>
  <c r="I19" i="8"/>
  <c r="H19" i="8"/>
  <c r="I51" i="8"/>
  <c r="H51" i="8"/>
  <c r="I55" i="8"/>
  <c r="H55" i="8"/>
  <c r="I43" i="8"/>
  <c r="H43" i="8"/>
  <c r="E28" i="8"/>
  <c r="J13" i="8"/>
  <c r="M13" i="8" s="1"/>
  <c r="G24" i="8"/>
  <c r="I27" i="8"/>
  <c r="H27" i="8"/>
  <c r="G23" i="8"/>
  <c r="G20" i="8"/>
  <c r="I33" i="8"/>
  <c r="H33" i="8"/>
  <c r="I39" i="8"/>
  <c r="H39" i="8"/>
  <c r="G31" i="8"/>
  <c r="G34" i="8"/>
  <c r="E34" i="8"/>
  <c r="G35" i="8" s="1"/>
  <c r="G14" i="8"/>
  <c r="J50" i="8"/>
  <c r="M50" i="8" s="1"/>
  <c r="E39" i="8"/>
  <c r="G40" i="8" s="1"/>
  <c r="E36" i="8"/>
  <c r="G37" i="8" s="1"/>
  <c r="E48" i="8"/>
  <c r="G49" i="8" s="1"/>
  <c r="E47" i="8"/>
  <c r="G48" i="8" s="1"/>
  <c r="E37" i="8"/>
  <c r="E14" i="8"/>
  <c r="G15" i="8" s="1"/>
  <c r="G32" i="8"/>
  <c r="E57" i="8"/>
  <c r="E20" i="8"/>
  <c r="G21" i="8" s="1"/>
  <c r="E59" i="8"/>
  <c r="G60" i="8" s="1"/>
  <c r="E51" i="8"/>
  <c r="G52" i="8" s="1"/>
  <c r="I36" i="8"/>
  <c r="H36" i="8"/>
  <c r="G44" i="8"/>
  <c r="G28" i="8"/>
  <c r="I56" i="8"/>
  <c r="H56" i="8"/>
  <c r="I25" i="8"/>
  <c r="H25" i="8"/>
  <c r="H45" i="8"/>
  <c r="I45" i="8"/>
  <c r="E15" i="8"/>
  <c r="G16" i="8" s="1"/>
  <c r="E25" i="8"/>
  <c r="G26" i="8" s="1"/>
  <c r="G18" i="8"/>
  <c r="I57" i="8"/>
  <c r="H57" i="8"/>
  <c r="E29" i="8"/>
  <c r="G30" i="8" s="1"/>
  <c r="G54" i="8"/>
  <c r="E41" i="8"/>
  <c r="G42" i="8" s="1"/>
  <c r="E60" i="8"/>
  <c r="G44" i="5"/>
  <c r="G49" i="5"/>
  <c r="G54" i="5"/>
  <c r="E38" i="5"/>
  <c r="G51" i="5"/>
  <c r="E27" i="5"/>
  <c r="E30" i="5"/>
  <c r="G31" i="5" s="1"/>
  <c r="G24" i="5"/>
  <c r="G52" i="5"/>
  <c r="E21" i="5"/>
  <c r="E47" i="5"/>
  <c r="G48" i="5" s="1"/>
  <c r="G28" i="5"/>
  <c r="H28" i="5" s="1"/>
  <c r="G22" i="5"/>
  <c r="G39" i="5"/>
  <c r="E37" i="5"/>
  <c r="G38" i="5" s="1"/>
  <c r="G32" i="5"/>
  <c r="E25" i="5"/>
  <c r="G26" i="5" s="1"/>
  <c r="H26" i="5" s="1"/>
  <c r="E15" i="5"/>
  <c r="G16" i="5" s="1"/>
  <c r="G18" i="5"/>
  <c r="E52" i="5"/>
  <c r="G53" i="5" s="1"/>
  <c r="E41" i="5"/>
  <c r="G42" i="5" s="1"/>
  <c r="H14" i="5"/>
  <c r="E54" i="5"/>
  <c r="G55" i="5" s="1"/>
  <c r="G35" i="5"/>
  <c r="E14" i="5"/>
  <c r="G15" i="5" s="1"/>
  <c r="E55" i="5"/>
  <c r="G56" i="5" s="1"/>
  <c r="E57" i="5"/>
  <c r="G58" i="5" s="1"/>
  <c r="E28" i="5"/>
  <c r="G29" i="5" s="1"/>
  <c r="G46" i="5"/>
  <c r="E44" i="5"/>
  <c r="G45" i="5" s="1"/>
  <c r="G27" i="5"/>
  <c r="G36" i="5"/>
  <c r="E56" i="5"/>
  <c r="H30" i="5"/>
  <c r="G50" i="5"/>
  <c r="E40" i="5"/>
  <c r="E36" i="5"/>
  <c r="G37" i="5" s="1"/>
  <c r="G19" i="5"/>
  <c r="G17" i="5"/>
  <c r="E59" i="5"/>
  <c r="G23" i="5"/>
  <c r="G61" i="5"/>
  <c r="G33" i="5"/>
  <c r="E24" i="5"/>
  <c r="E42" i="5"/>
  <c r="G59" i="5"/>
  <c r="G21" i="5"/>
  <c r="E33" i="5"/>
  <c r="G34" i="5" s="1"/>
  <c r="E46" i="5"/>
  <c r="G47" i="5" s="1"/>
  <c r="E19" i="5"/>
  <c r="G20" i="5" s="1"/>
  <c r="G40" i="5"/>
  <c r="J10" i="1" l="1"/>
  <c r="I62" i="1"/>
  <c r="I64" i="1"/>
  <c r="I19" i="1"/>
  <c r="I35" i="1"/>
  <c r="I51" i="1"/>
  <c r="I65" i="1"/>
  <c r="I20" i="1"/>
  <c r="I36" i="1"/>
  <c r="I52" i="1"/>
  <c r="I66" i="1"/>
  <c r="I21" i="1"/>
  <c r="I37" i="1"/>
  <c r="I53" i="1"/>
  <c r="I67" i="1"/>
  <c r="I22" i="1"/>
  <c r="I38" i="1"/>
  <c r="I54" i="1"/>
  <c r="I60" i="1"/>
  <c r="I13" i="1"/>
  <c r="I68" i="1"/>
  <c r="I23" i="1"/>
  <c r="I39" i="1"/>
  <c r="I55" i="1"/>
  <c r="I25" i="1"/>
  <c r="I41" i="1"/>
  <c r="I57" i="1"/>
  <c r="I71" i="1"/>
  <c r="I72" i="1"/>
  <c r="I11" i="1"/>
  <c r="I43" i="1"/>
  <c r="I28" i="1"/>
  <c r="I29" i="1"/>
  <c r="I61" i="1"/>
  <c r="I69" i="1"/>
  <c r="I24" i="1"/>
  <c r="I40" i="1"/>
  <c r="I56" i="1"/>
  <c r="I70" i="1"/>
  <c r="I26" i="1"/>
  <c r="I42" i="1"/>
  <c r="I58" i="1"/>
  <c r="I27" i="1"/>
  <c r="I59" i="1"/>
  <c r="I73" i="1"/>
  <c r="I12" i="1"/>
  <c r="I44" i="1"/>
  <c r="I45" i="1"/>
  <c r="I50" i="1"/>
  <c r="I14" i="1"/>
  <c r="I15" i="1"/>
  <c r="I46" i="1"/>
  <c r="I47" i="1"/>
  <c r="I49" i="1"/>
  <c r="I16" i="1"/>
  <c r="I18" i="1"/>
  <c r="I30" i="1"/>
  <c r="I31" i="1"/>
  <c r="I34" i="1"/>
  <c r="I48" i="1"/>
  <c r="I17" i="1"/>
  <c r="I32" i="1"/>
  <c r="I63" i="1"/>
  <c r="I33" i="1"/>
  <c r="H47" i="8"/>
  <c r="H22" i="8"/>
  <c r="G58" i="8"/>
  <c r="H17" i="8"/>
  <c r="H46" i="8"/>
  <c r="I41" i="8"/>
  <c r="J41" i="8" s="1"/>
  <c r="M41" i="8" s="1"/>
  <c r="H53" i="8"/>
  <c r="G38" i="8"/>
  <c r="I38" i="8" s="1"/>
  <c r="I20" i="8"/>
  <c r="H20" i="8"/>
  <c r="I23" i="8"/>
  <c r="H23" i="8"/>
  <c r="I24" i="8"/>
  <c r="H24" i="8"/>
  <c r="J47" i="8"/>
  <c r="M47" i="8" s="1"/>
  <c r="J53" i="8"/>
  <c r="M53" i="8" s="1"/>
  <c r="J36" i="8"/>
  <c r="M36" i="8" s="1"/>
  <c r="H38" i="8"/>
  <c r="J33" i="8"/>
  <c r="M33" i="8" s="1"/>
  <c r="J51" i="8"/>
  <c r="M51" i="8" s="1"/>
  <c r="I26" i="8"/>
  <c r="H26" i="8"/>
  <c r="I52" i="8"/>
  <c r="H52" i="8"/>
  <c r="H12" i="8"/>
  <c r="I48" i="8"/>
  <c r="H48" i="8"/>
  <c r="J19" i="8"/>
  <c r="M19" i="8" s="1"/>
  <c r="I16" i="8"/>
  <c r="H16" i="8"/>
  <c r="I49" i="8"/>
  <c r="H49" i="8"/>
  <c r="I37" i="8"/>
  <c r="H37" i="8"/>
  <c r="J27" i="8"/>
  <c r="M27" i="8" s="1"/>
  <c r="J59" i="8"/>
  <c r="M59" i="8" s="1"/>
  <c r="I40" i="8"/>
  <c r="H40" i="8"/>
  <c r="G61" i="8"/>
  <c r="J17" i="8"/>
  <c r="M17" i="8" s="1"/>
  <c r="I60" i="8"/>
  <c r="H60" i="8"/>
  <c r="I42" i="8"/>
  <c r="H42" i="8"/>
  <c r="J45" i="8"/>
  <c r="M45" i="8" s="1"/>
  <c r="I21" i="8"/>
  <c r="H21" i="8"/>
  <c r="J22" i="8"/>
  <c r="M22" i="8" s="1"/>
  <c r="H54" i="8"/>
  <c r="I54" i="8"/>
  <c r="I58" i="8"/>
  <c r="H58" i="8"/>
  <c r="I14" i="8"/>
  <c r="H14" i="8"/>
  <c r="J46" i="8"/>
  <c r="M46" i="8" s="1"/>
  <c r="I30" i="8"/>
  <c r="H30" i="8"/>
  <c r="J25" i="8"/>
  <c r="M25" i="8" s="1"/>
  <c r="I35" i="8"/>
  <c r="H35" i="8"/>
  <c r="G29" i="8"/>
  <c r="I32" i="8"/>
  <c r="H32" i="8"/>
  <c r="I34" i="8"/>
  <c r="H34" i="8"/>
  <c r="J57" i="8"/>
  <c r="M57" i="8" s="1"/>
  <c r="J56" i="8"/>
  <c r="M56" i="8" s="1"/>
  <c r="I15" i="8"/>
  <c r="H15" i="8"/>
  <c r="I31" i="8"/>
  <c r="H31" i="8"/>
  <c r="J43" i="8"/>
  <c r="M43" i="8" s="1"/>
  <c r="I28" i="8"/>
  <c r="H28" i="8"/>
  <c r="I18" i="8"/>
  <c r="H18" i="8"/>
  <c r="H44" i="8"/>
  <c r="I44" i="8"/>
  <c r="J39" i="8"/>
  <c r="M39" i="8" s="1"/>
  <c r="J55" i="8"/>
  <c r="M55" i="8" s="1"/>
  <c r="J49" i="5"/>
  <c r="M49" i="5" s="1"/>
  <c r="H49" i="5"/>
  <c r="H44" i="5"/>
  <c r="H54" i="5"/>
  <c r="J54" i="5"/>
  <c r="M54" i="5" s="1"/>
  <c r="H18" i="5"/>
  <c r="H22" i="5"/>
  <c r="H31" i="5"/>
  <c r="H39" i="5"/>
  <c r="H24" i="5"/>
  <c r="G41" i="5"/>
  <c r="H45" i="5"/>
  <c r="G60" i="5"/>
  <c r="H51" i="5"/>
  <c r="H32" i="5"/>
  <c r="H38" i="5"/>
  <c r="H58" i="5"/>
  <c r="H56" i="5"/>
  <c r="H55" i="5"/>
  <c r="H42" i="5"/>
  <c r="H29" i="5"/>
  <c r="H15" i="5"/>
  <c r="H33" i="5"/>
  <c r="H23" i="5"/>
  <c r="H17" i="5"/>
  <c r="J15" i="5"/>
  <c r="M15" i="5" s="1"/>
  <c r="H61" i="5"/>
  <c r="H46" i="5"/>
  <c r="H36" i="5"/>
  <c r="G43" i="5"/>
  <c r="J24" i="5"/>
  <c r="M24" i="5" s="1"/>
  <c r="H40" i="5"/>
  <c r="H16" i="5"/>
  <c r="H53" i="5"/>
  <c r="J58" i="5"/>
  <c r="M58" i="5" s="1"/>
  <c r="H27" i="5"/>
  <c r="H20" i="5"/>
  <c r="J30" i="5"/>
  <c r="M30" i="5" s="1"/>
  <c r="H19" i="5"/>
  <c r="H48" i="5"/>
  <c r="J38" i="5"/>
  <c r="M38" i="5" s="1"/>
  <c r="J18" i="5"/>
  <c r="M18" i="5" s="1"/>
  <c r="J51" i="5"/>
  <c r="M51" i="5" s="1"/>
  <c r="J22" i="5"/>
  <c r="M22" i="5" s="1"/>
  <c r="H47" i="5"/>
  <c r="H52" i="5"/>
  <c r="H50" i="5"/>
  <c r="J31" i="5"/>
  <c r="M31" i="5" s="1"/>
  <c r="H37" i="5"/>
  <c r="J56" i="5"/>
  <c r="M56" i="5" s="1"/>
  <c r="H59" i="5"/>
  <c r="J55" i="5"/>
  <c r="M55" i="5" s="1"/>
  <c r="J45" i="5"/>
  <c r="M45" i="5" s="1"/>
  <c r="H34" i="5"/>
  <c r="G25" i="5"/>
  <c r="J39" i="5"/>
  <c r="M39" i="5" s="1"/>
  <c r="J32" i="5"/>
  <c r="M32" i="5" s="1"/>
  <c r="H21" i="5"/>
  <c r="H35" i="5"/>
  <c r="J42" i="5"/>
  <c r="M42" i="5" s="1"/>
  <c r="J29" i="5"/>
  <c r="M29" i="5" s="1"/>
  <c r="G57" i="5"/>
  <c r="J53" i="1" l="1"/>
  <c r="M53" i="1" s="1"/>
  <c r="J59" i="1"/>
  <c r="M59" i="1" s="1"/>
  <c r="J34" i="1"/>
  <c r="M34" i="1" s="1"/>
  <c r="J57" i="1"/>
  <c r="M57" i="1" s="1"/>
  <c r="J58" i="1"/>
  <c r="M58" i="1" s="1"/>
  <c r="J41" i="1"/>
  <c r="M41" i="1" s="1"/>
  <c r="J42" i="1"/>
  <c r="M42" i="1" s="1"/>
  <c r="J36" i="1"/>
  <c r="M36" i="1" s="1"/>
  <c r="J26" i="1"/>
  <c r="M26" i="1" s="1"/>
  <c r="J55" i="1"/>
  <c r="M55" i="1" s="1"/>
  <c r="J16" i="1"/>
  <c r="M16" i="1" s="1"/>
  <c r="J56" i="1"/>
  <c r="M56" i="1" s="1"/>
  <c r="J51" i="1"/>
  <c r="M51" i="1" s="1"/>
  <c r="J47" i="1"/>
  <c r="M47" i="1" s="1"/>
  <c r="J35" i="1"/>
  <c r="M35" i="1" s="1"/>
  <c r="J46" i="1"/>
  <c r="M46" i="1" s="1"/>
  <c r="J24" i="1"/>
  <c r="M24" i="1" s="1"/>
  <c r="J13" i="1"/>
  <c r="M13" i="1" s="1"/>
  <c r="J19" i="1"/>
  <c r="M19" i="1" s="1"/>
  <c r="J12" i="1"/>
  <c r="M12" i="1" s="1"/>
  <c r="J17" i="1"/>
  <c r="M17" i="1" s="1"/>
  <c r="J27" i="1"/>
  <c r="M27" i="1" s="1"/>
  <c r="J31" i="1"/>
  <c r="M31" i="1" s="1"/>
  <c r="J52" i="1"/>
  <c r="M52" i="1" s="1"/>
  <c r="J30" i="1"/>
  <c r="M30" i="1" s="1"/>
  <c r="J25" i="1"/>
  <c r="M25" i="1" s="1"/>
  <c r="J18" i="1"/>
  <c r="M18" i="1" s="1"/>
  <c r="J20" i="1"/>
  <c r="M20" i="1" s="1"/>
  <c r="J39" i="1"/>
  <c r="M39" i="1" s="1"/>
  <c r="J49" i="1"/>
  <c r="M49" i="1" s="1"/>
  <c r="J23" i="1"/>
  <c r="M23" i="1" s="1"/>
  <c r="J40" i="1"/>
  <c r="M40" i="1" s="1"/>
  <c r="J15" i="1"/>
  <c r="M15" i="1" s="1"/>
  <c r="J60" i="1"/>
  <c r="M60" i="1" s="1"/>
  <c r="J32" i="1"/>
  <c r="M32" i="1" s="1"/>
  <c r="J11" i="1"/>
  <c r="J37" i="1"/>
  <c r="M37" i="1" s="1"/>
  <c r="J48" i="1"/>
  <c r="M48" i="1" s="1"/>
  <c r="J21" i="1"/>
  <c r="M21" i="1" s="1"/>
  <c r="J14" i="1"/>
  <c r="M14" i="1" s="1"/>
  <c r="J61" i="1"/>
  <c r="J54" i="1"/>
  <c r="M54" i="1" s="1"/>
  <c r="J50" i="1"/>
  <c r="M50" i="1" s="1"/>
  <c r="J29" i="1"/>
  <c r="M29" i="1" s="1"/>
  <c r="J38" i="1"/>
  <c r="M38" i="1" s="1"/>
  <c r="J33" i="1"/>
  <c r="M33" i="1" s="1"/>
  <c r="J45" i="1"/>
  <c r="M45" i="1" s="1"/>
  <c r="J28" i="1"/>
  <c r="M28" i="1" s="1"/>
  <c r="J22" i="1"/>
  <c r="M22" i="1" s="1"/>
  <c r="M10" i="1"/>
  <c r="H3" i="4"/>
  <c r="B3" i="4"/>
  <c r="E3" i="4"/>
  <c r="J44" i="1"/>
  <c r="M44" i="1" s="1"/>
  <c r="J43" i="1"/>
  <c r="M43" i="1" s="1"/>
  <c r="J31" i="8"/>
  <c r="M31" i="8" s="1"/>
  <c r="J15" i="8"/>
  <c r="M15" i="8" s="1"/>
  <c r="J21" i="8"/>
  <c r="M21" i="8" s="1"/>
  <c r="J48" i="8"/>
  <c r="M48" i="8" s="1"/>
  <c r="J42" i="8"/>
  <c r="M42" i="8" s="1"/>
  <c r="J28" i="8"/>
  <c r="M28" i="8" s="1"/>
  <c r="J14" i="8"/>
  <c r="M14" i="8" s="1"/>
  <c r="J34" i="8"/>
  <c r="M34" i="8" s="1"/>
  <c r="J38" i="8"/>
  <c r="M38" i="8" s="1"/>
  <c r="J44" i="8"/>
  <c r="M44" i="8" s="1"/>
  <c r="J30" i="8"/>
  <c r="M30" i="8" s="1"/>
  <c r="J12" i="8"/>
  <c r="J52" i="8"/>
  <c r="M52" i="8" s="1"/>
  <c r="J18" i="8"/>
  <c r="M18" i="8" s="1"/>
  <c r="J37" i="8"/>
  <c r="M37" i="8" s="1"/>
  <c r="J26" i="8"/>
  <c r="M26" i="8" s="1"/>
  <c r="J60" i="8"/>
  <c r="M60" i="8" s="1"/>
  <c r="J58" i="8"/>
  <c r="M58" i="8" s="1"/>
  <c r="J49" i="8"/>
  <c r="M49" i="8" s="1"/>
  <c r="J24" i="8"/>
  <c r="M24" i="8" s="1"/>
  <c r="J32" i="8"/>
  <c r="M32" i="8" s="1"/>
  <c r="J54" i="8"/>
  <c r="M54" i="8" s="1"/>
  <c r="H29" i="8"/>
  <c r="I29" i="8"/>
  <c r="H61" i="8"/>
  <c r="I61" i="8"/>
  <c r="J16" i="8"/>
  <c r="M16" i="8" s="1"/>
  <c r="J23" i="8"/>
  <c r="M23" i="8" s="1"/>
  <c r="J35" i="8"/>
  <c r="M35" i="8" s="1"/>
  <c r="J40" i="8"/>
  <c r="M40" i="8" s="1"/>
  <c r="J20" i="8"/>
  <c r="M20" i="8" s="1"/>
  <c r="J44" i="5"/>
  <c r="M44" i="5" s="1"/>
  <c r="H60" i="5"/>
  <c r="J28" i="5"/>
  <c r="M28" i="5" s="1"/>
  <c r="H41" i="5"/>
  <c r="J26" i="5"/>
  <c r="M26" i="5" s="1"/>
  <c r="J14" i="5"/>
  <c r="J59" i="5"/>
  <c r="M59" i="5" s="1"/>
  <c r="J47" i="5"/>
  <c r="M47" i="5" s="1"/>
  <c r="J20" i="5"/>
  <c r="M20" i="5" s="1"/>
  <c r="J36" i="5"/>
  <c r="M36" i="5" s="1"/>
  <c r="J34" i="5"/>
  <c r="M34" i="5" s="1"/>
  <c r="J37" i="5"/>
  <c r="M37" i="5" s="1"/>
  <c r="J27" i="5"/>
  <c r="M27" i="5" s="1"/>
  <c r="J35" i="5"/>
  <c r="M35" i="5" s="1"/>
  <c r="J46" i="5"/>
  <c r="M46" i="5" s="1"/>
  <c r="J21" i="5"/>
  <c r="M21" i="5" s="1"/>
  <c r="J50" i="5"/>
  <c r="M50" i="5" s="1"/>
  <c r="J48" i="5"/>
  <c r="M48" i="5" s="1"/>
  <c r="J53" i="5"/>
  <c r="M53" i="5" s="1"/>
  <c r="J19" i="5"/>
  <c r="M19" i="5" s="1"/>
  <c r="J61" i="5"/>
  <c r="J16" i="5"/>
  <c r="M16" i="5" s="1"/>
  <c r="H57" i="5"/>
  <c r="J52" i="5"/>
  <c r="M52" i="5" s="1"/>
  <c r="J40" i="5"/>
  <c r="M40" i="5" s="1"/>
  <c r="J17" i="5"/>
  <c r="M17" i="5" s="1"/>
  <c r="J60" i="5"/>
  <c r="M60" i="5" s="1"/>
  <c r="J41" i="5"/>
  <c r="M41" i="5" s="1"/>
  <c r="H43" i="5"/>
  <c r="J23" i="5"/>
  <c r="M23" i="5" s="1"/>
  <c r="H25" i="5"/>
  <c r="J33" i="5"/>
  <c r="M33" i="5" s="1"/>
  <c r="B21" i="4"/>
  <c r="H4" i="4"/>
  <c r="H5" i="4"/>
  <c r="B20" i="4"/>
  <c r="H11" i="4"/>
  <c r="B4" i="3" a="1"/>
  <c r="H12" i="4"/>
  <c r="H14" i="4" l="1"/>
  <c r="B22" i="3"/>
  <c r="B10" i="3"/>
  <c r="B31" i="3"/>
  <c r="B38" i="3"/>
  <c r="B26" i="3"/>
  <c r="B47" i="3"/>
  <c r="B54" i="3"/>
  <c r="B42" i="3"/>
  <c r="B16" i="3"/>
  <c r="B7" i="3"/>
  <c r="B11" i="3"/>
  <c r="B32" i="3"/>
  <c r="B23" i="3"/>
  <c r="B27" i="3"/>
  <c r="B48" i="3"/>
  <c r="B52" i="3"/>
  <c r="B29" i="3"/>
  <c r="B24" i="3"/>
  <c r="B21" i="3"/>
  <c r="B14" i="3"/>
  <c r="B37" i="3"/>
  <c r="B30" i="3"/>
  <c r="B25" i="3"/>
  <c r="B46" i="3"/>
  <c r="B41" i="3"/>
  <c r="B15" i="3"/>
  <c r="B39" i="3"/>
  <c r="B43" i="3"/>
  <c r="B17" i="3"/>
  <c r="B55" i="3"/>
  <c r="B12" i="3"/>
  <c r="B33" i="3"/>
  <c r="B4" i="3"/>
  <c r="B19" i="3"/>
  <c r="B28" i="3"/>
  <c r="B49" i="3"/>
  <c r="B20" i="3"/>
  <c r="B35" i="3"/>
  <c r="B44" i="3"/>
  <c r="B18" i="3"/>
  <c r="B36" i="3"/>
  <c r="B51" i="3"/>
  <c r="B13" i="3"/>
  <c r="B34" i="3"/>
  <c r="B8" i="3"/>
  <c r="B50" i="3"/>
  <c r="B5" i="3"/>
  <c r="B45" i="3"/>
  <c r="B40" i="3"/>
  <c r="B9" i="3"/>
  <c r="B53" i="3"/>
  <c r="B6" i="3"/>
  <c r="H7" i="4"/>
  <c r="M61" i="1"/>
  <c r="B15" i="4"/>
  <c r="B14" i="4"/>
  <c r="B13" i="4"/>
  <c r="B12" i="4" s="1"/>
  <c r="B11" i="4"/>
  <c r="B4" i="4"/>
  <c r="B10" i="4"/>
  <c r="B8" i="4"/>
  <c r="B7" i="4"/>
  <c r="E14" i="4"/>
  <c r="B5" i="4"/>
  <c r="E16" i="4"/>
  <c r="B9" i="4"/>
  <c r="B6" i="4"/>
  <c r="E13" i="4"/>
  <c r="E12" i="4"/>
  <c r="B19" i="4"/>
  <c r="B18" i="4"/>
  <c r="B17" i="4"/>
  <c r="B16" i="4"/>
  <c r="M11" i="1"/>
  <c r="N2" i="1" s="1"/>
  <c r="K2" i="1"/>
  <c r="J61" i="8"/>
  <c r="M61" i="8" s="1"/>
  <c r="J29" i="8"/>
  <c r="M29" i="8" s="1"/>
  <c r="M14" i="5"/>
  <c r="K2" i="5"/>
  <c r="M61" i="5"/>
  <c r="J25" i="5"/>
  <c r="M25" i="5" s="1"/>
  <c r="J43" i="5"/>
  <c r="M43" i="5" s="1"/>
  <c r="J57" i="5"/>
  <c r="I4" i="3"/>
  <c r="E6" i="3"/>
  <c r="E7" i="3"/>
  <c r="E10" i="3"/>
  <c r="E5" i="3"/>
  <c r="E9" i="3"/>
  <c r="E8" i="3"/>
  <c r="E4" i="3"/>
  <c r="B4" i="6" a="1"/>
  <c r="J4" i="3" l="1"/>
  <c r="E11" i="4" a="1"/>
  <c r="E11" i="4" s="1"/>
  <c r="E5" i="4" s="1"/>
  <c r="E7" i="4"/>
  <c r="L10" i="1"/>
  <c r="K53" i="1"/>
  <c r="K59" i="1"/>
  <c r="K42" i="1"/>
  <c r="K51" i="1"/>
  <c r="K31" i="1"/>
  <c r="L21" i="1"/>
  <c r="L38" i="1"/>
  <c r="L36" i="1"/>
  <c r="K14" i="1"/>
  <c r="K32" i="1"/>
  <c r="L26" i="1"/>
  <c r="K47" i="1"/>
  <c r="L12" i="1"/>
  <c r="K49" i="1"/>
  <c r="K33" i="1"/>
  <c r="L57" i="1"/>
  <c r="K35" i="1"/>
  <c r="K30" i="1"/>
  <c r="L11" i="1"/>
  <c r="K61" i="1"/>
  <c r="K57" i="1"/>
  <c r="L35" i="1"/>
  <c r="K11" i="1"/>
  <c r="L45" i="1"/>
  <c r="L17" i="1"/>
  <c r="L25" i="1"/>
  <c r="K37" i="1"/>
  <c r="K45" i="1"/>
  <c r="L58" i="1"/>
  <c r="K43" i="1"/>
  <c r="L16" i="1"/>
  <c r="K17" i="1"/>
  <c r="L40" i="1"/>
  <c r="K50" i="1"/>
  <c r="K46" i="1"/>
  <c r="L48" i="1"/>
  <c r="K28" i="1"/>
  <c r="L41" i="1"/>
  <c r="K27" i="1"/>
  <c r="L18" i="1"/>
  <c r="L22" i="1"/>
  <c r="L24" i="1"/>
  <c r="K20" i="1"/>
  <c r="K48" i="1"/>
  <c r="K15" i="1"/>
  <c r="L29" i="1"/>
  <c r="K56" i="1"/>
  <c r="L20" i="1"/>
  <c r="L59" i="1"/>
  <c r="K36" i="1"/>
  <c r="L13" i="1"/>
  <c r="K52" i="1"/>
  <c r="L39" i="1"/>
  <c r="L60" i="1"/>
  <c r="K38" i="1"/>
  <c r="K34" i="1"/>
  <c r="L51" i="1"/>
  <c r="K19" i="1"/>
  <c r="L52" i="1"/>
  <c r="K39" i="1"/>
  <c r="L14" i="1"/>
  <c r="L47" i="1"/>
  <c r="L49" i="1"/>
  <c r="L32" i="1"/>
  <c r="L33" i="1"/>
  <c r="L34" i="1"/>
  <c r="L19" i="1"/>
  <c r="L30" i="1"/>
  <c r="K44" i="1"/>
  <c r="L61" i="1"/>
  <c r="L44" i="1"/>
  <c r="K26" i="1"/>
  <c r="K12" i="1"/>
  <c r="L23" i="1"/>
  <c r="L54" i="1"/>
  <c r="L55" i="1"/>
  <c r="K23" i="1"/>
  <c r="K54" i="1"/>
  <c r="L43" i="1"/>
  <c r="K55" i="1"/>
  <c r="K25" i="1"/>
  <c r="K58" i="1"/>
  <c r="L46" i="1"/>
  <c r="K18" i="1"/>
  <c r="L37" i="1"/>
  <c r="L28" i="1"/>
  <c r="K40" i="1"/>
  <c r="L50" i="1"/>
  <c r="K16" i="1"/>
  <c r="L15" i="1"/>
  <c r="K41" i="1"/>
  <c r="L27" i="1"/>
  <c r="K22" i="1"/>
  <c r="L53" i="1"/>
  <c r="L56" i="1"/>
  <c r="K24" i="1"/>
  <c r="K21" i="1"/>
  <c r="L42" i="1"/>
  <c r="K13" i="1"/>
  <c r="L31" i="1"/>
  <c r="K60" i="1"/>
  <c r="K29" i="1"/>
  <c r="E6" i="4"/>
  <c r="E15" i="4" a="1"/>
  <c r="E15" i="4" s="1"/>
  <c r="E8" i="4" s="1"/>
  <c r="B36" i="6"/>
  <c r="B23" i="6"/>
  <c r="B16" i="6"/>
  <c r="B19" i="6"/>
  <c r="B51" i="6"/>
  <c r="B24" i="6"/>
  <c r="B42" i="6"/>
  <c r="B6" i="6"/>
  <c r="B41" i="6"/>
  <c r="B27" i="6"/>
  <c r="B30" i="6"/>
  <c r="B47" i="6"/>
  <c r="B12" i="6"/>
  <c r="B32" i="6"/>
  <c r="B46" i="6"/>
  <c r="B34" i="6"/>
  <c r="B13" i="6"/>
  <c r="B17" i="6"/>
  <c r="B18" i="6"/>
  <c r="B37" i="6"/>
  <c r="B20" i="6"/>
  <c r="B38" i="6"/>
  <c r="B35" i="6"/>
  <c r="B7" i="6"/>
  <c r="B26" i="6"/>
  <c r="B31" i="6"/>
  <c r="B8" i="6"/>
  <c r="B43" i="6"/>
  <c r="B33" i="6"/>
  <c r="B9" i="6"/>
  <c r="B50" i="6"/>
  <c r="B10" i="6"/>
  <c r="B11" i="6"/>
  <c r="B28" i="6"/>
  <c r="B49" i="6"/>
  <c r="B44" i="6"/>
  <c r="B48" i="6"/>
  <c r="B5" i="6"/>
  <c r="B29" i="6"/>
  <c r="B21" i="6"/>
  <c r="B45" i="6"/>
  <c r="B4" i="6"/>
  <c r="B14" i="6"/>
  <c r="B22" i="6"/>
  <c r="B15" i="6"/>
  <c r="B40" i="6"/>
  <c r="B25" i="6"/>
  <c r="B39" i="6"/>
  <c r="M57" i="5"/>
  <c r="N2" i="5"/>
  <c r="E4" i="6"/>
  <c r="E5" i="6"/>
  <c r="E7" i="6"/>
  <c r="E8" i="6"/>
  <c r="E9" i="6"/>
  <c r="E6" i="6"/>
  <c r="E10" i="6"/>
  <c r="I4" i="6"/>
  <c r="E18" i="4" l="1"/>
  <c r="E9" i="4" s="1"/>
  <c r="J4" i="6"/>
  <c r="E4" i="4" l="1"/>
  <c r="D5" i="2"/>
  <c r="C5" i="2" s="1"/>
  <c r="A6" i="2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5" i="2"/>
  <c r="B16" i="2"/>
  <c r="B6" i="2"/>
  <c r="B7" i="2"/>
  <c r="B11" i="2"/>
  <c r="B10" i="2"/>
  <c r="B13" i="2"/>
  <c r="B9" i="2"/>
  <c r="B14" i="2"/>
  <c r="B12" i="2"/>
  <c r="B4" i="2"/>
  <c r="B5" i="2"/>
  <c r="B15" i="2"/>
  <c r="B8" i="2"/>
  <c r="D7" i="2" l="1"/>
  <c r="C7" i="2" s="1"/>
  <c r="D14" i="2"/>
  <c r="C14" i="2" s="1"/>
  <c r="D15" i="2"/>
  <c r="C15" i="2" s="1"/>
  <c r="D12" i="2"/>
  <c r="C12" i="2" s="1"/>
  <c r="D11" i="2"/>
  <c r="C11" i="2" s="1"/>
  <c r="D13" i="2"/>
  <c r="C13" i="2" s="1"/>
  <c r="D10" i="2"/>
  <c r="C10" i="2" s="1"/>
  <c r="D16" i="2"/>
  <c r="C16" i="2" s="1"/>
  <c r="D9" i="2"/>
  <c r="C9" i="2" s="1"/>
  <c r="D8" i="2"/>
  <c r="C8" i="2" s="1"/>
  <c r="D6" i="2"/>
  <c r="C6" i="2" s="1"/>
</calcChain>
</file>

<file path=xl/sharedStrings.xml><?xml version="1.0" encoding="utf-8"?>
<sst xmlns="http://schemas.openxmlformats.org/spreadsheetml/2006/main" count="229" uniqueCount="71">
  <si>
    <t>Production, Imports, Exports and Consumption of Bakery Products</t>
  </si>
  <si>
    <t>Tonnes : Jul 2021 to Jun 2026</t>
  </si>
  <si>
    <t xml:space="preserve">Month </t>
  </si>
  <si>
    <t xml:space="preserve">Biscuits/ cookies </t>
  </si>
  <si>
    <t xml:space="preserve">  </t>
  </si>
  <si>
    <t xml:space="preserve">Consumption </t>
  </si>
  <si>
    <t>Correlogram</t>
  </si>
  <si>
    <t>acf</t>
  </si>
  <si>
    <t>alpha</t>
  </si>
  <si>
    <t>lags</t>
  </si>
  <si>
    <t>lower</t>
  </si>
  <si>
    <t>upper</t>
  </si>
  <si>
    <t>FMA</t>
  </si>
  <si>
    <t>DMA</t>
  </si>
  <si>
    <t>bt</t>
  </si>
  <si>
    <t>at (do not use brackets in formula)</t>
  </si>
  <si>
    <t>Estimates</t>
  </si>
  <si>
    <t>Error</t>
  </si>
  <si>
    <t>Mean Error</t>
  </si>
  <si>
    <t>Revised Estimate</t>
  </si>
  <si>
    <t>Revised Error</t>
  </si>
  <si>
    <t>Diff Data:</t>
  </si>
  <si>
    <t>time</t>
  </si>
  <si>
    <t>data</t>
  </si>
  <si>
    <t>Autcorrelation</t>
  </si>
  <si>
    <t>lag</t>
  </si>
  <si>
    <t>White noise test:</t>
  </si>
  <si>
    <t>test</t>
  </si>
  <si>
    <t>stat</t>
  </si>
  <si>
    <t>p-value</t>
  </si>
  <si>
    <t>ljung-box</t>
  </si>
  <si>
    <t>Descriptive Statistics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</si>
  <si>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</si>
  <si>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</si>
  <si>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</si>
  <si>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</si>
  <si>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</si>
  <si>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</si>
  <si>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</si>
  <si>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</si>
  <si>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</si>
  <si>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Maximum</t>
  </si>
  <si>
    <t>Minimum</t>
  </si>
  <si>
    <t>Sum</t>
  </si>
  <si>
    <t>Count</t>
  </si>
  <si>
    <t>Geometric Mean</t>
  </si>
  <si>
    <t>Harmonic Mean</t>
  </si>
  <si>
    <t>AAD</t>
  </si>
  <si>
    <t>MAD</t>
  </si>
  <si>
    <t>IQR</t>
  </si>
  <si>
    <t>Multiplier</t>
  </si>
  <si>
    <t>Grand Min</t>
  </si>
  <si>
    <t>Outliers</t>
  </si>
  <si>
    <t>Min</t>
  </si>
  <si>
    <t>Q1</t>
  </si>
  <si>
    <t>Q3</t>
  </si>
  <si>
    <t>Max</t>
  </si>
  <si>
    <t>Q1-Min</t>
  </si>
  <si>
    <t>Med-Q1</t>
  </si>
  <si>
    <t>Q3-Med</t>
  </si>
  <si>
    <t>Max-Q3</t>
  </si>
  <si>
    <t>None</t>
  </si>
  <si>
    <t>Shapiro-Wilk Test</t>
  </si>
  <si>
    <t>W-stat</t>
  </si>
  <si>
    <t>normal</t>
  </si>
  <si>
    <t>d'Agostino-Pearson</t>
  </si>
  <si>
    <t>DA-stat</t>
  </si>
  <si>
    <t>Std dev</t>
  </si>
  <si>
    <t>LCL</t>
  </si>
  <si>
    <t>UCL</t>
  </si>
  <si>
    <t>Std 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</si>
</sst>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17" fontId="0" fillId="0" borderId="0" xfId="0" applyNumberFormat="1"/>
    <xf numFmtId="4" fontId="0" fillId="0" borderId="0" xfId="0" applyNumberFormat="1"/>
    <xf numFmtId="0" fontId="0" fillId="0" borderId="10" xfId="0" applyBorder="1"/>
    <xf numFmtId="0" fontId="0" fillId="0" borderId="12" xfId="0" applyBorder="1" applyAlignment="1">
      <alignment horizontal="center"/>
    </xf>
    <xf numFmtId="0" fontId="0" fillId="0" borderId="11" xfId="0" applyBorder="1"/>
    <xf numFmtId="0" fontId="16" fillId="0" borderId="0" xfId="0" applyFont="1"/>
    <xf numFmtId="0" fontId="18" fillId="0" borderId="13" xfId="0" applyFont="1" applyBorder="1" applyAlignment="1">
      <alignment horizontal="center"/>
    </xf>
    <xf numFmtId="0" fontId="0" fillId="0" borderId="12" xfId="0" applyBorder="1"/>
    <xf numFmtId="0" fontId="18" fillId="0" borderId="11" xfId="0" applyFont="1" applyBorder="1" applyAlignment="1">
      <alignment horizontal="center"/>
    </xf>
    <xf numFmtId="4" fontId="18" fillId="0" borderId="11" xfId="0" applyNumberFormat="1" applyFont="1" applyBorder="1" applyAlignment="1">
      <alignment horizontal="center"/>
    </xf>
    <xf numFmtId="4" fontId="18" fillId="0" borderId="0" xfId="0" applyNumberFormat="1" applyFont="1" applyAlignment="1">
      <alignment horizontal="center"/>
    </xf>
    <xf numFmtId="0" fontId="0" fillId="0" borderId="14" xfId="0" applyBorder="1"/>
    <xf numFmtId="0" fontId="0" fillId="0" borderId="15" xfId="0" applyBorder="1"/>
    <xf numFmtId="4" fontId="0" fillId="0" borderId="15" xfId="0" applyNumberFormat="1" applyBorder="1"/>
    <xf numFmtId="4" fontId="0" fillId="0" borderId="16" xfId="0" applyNumberFormat="1" applyBorder="1"/>
    <xf numFmtId="0" fontId="0" fillId="0" borderId="11" xfId="0" applyBorder="1" applyAlignment="1">
      <alignment horizontal="right"/>
    </xf>
    <xf numFmtId="0" fontId="0" fillId="0" borderId="17" xfId="0" applyBorder="1"/>
    <xf numFmtId="4" fontId="16" fillId="34" borderId="0" xfId="0" applyNumberFormat="1" applyFont="1" applyFill="1"/>
    <xf numFmtId="0" fontId="16" fillId="33" borderId="0" xfId="0" applyFont="1" applyFill="1"/>
    <xf numFmtId="0" fontId="14" fillId="0" borderId="0" xfId="0" applyFont="1"/>
    <xf numFmtId="4" fontId="14" fillId="0" borderId="0" xfId="0" applyNumberFormat="1" applyFont="1"/>
    <xf numFmtId="4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Correlogram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v>acf</c:v>
          </c:tx>
          <c:invertIfNegative val="0"/>
          <c:cat>
            <c:numRef>
              <c:f>Correlogram!$A$4:$A$16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cat>
          <c:val>
            <c:numRef>
              <c:f>Correlogram!$B$4:$B$16</c:f>
              <c:numCache>
                <c:formatCode>General</c:formatCode>
                <c:ptCount val="13"/>
                <c:pt idx="0">
                  <c:v>1</c:v>
                </c:pt>
                <c:pt idx="1">
                  <c:v>0.87981836025918903</c:v>
                </c:pt>
                <c:pt idx="2">
                  <c:v>0.76789663058390611</c:v>
                </c:pt>
                <c:pt idx="3">
                  <c:v>0.69821132067141545</c:v>
                </c:pt>
                <c:pt idx="4">
                  <c:v>0.67321292800069166</c:v>
                </c:pt>
                <c:pt idx="5">
                  <c:v>0.64024595377532589</c:v>
                </c:pt>
                <c:pt idx="6">
                  <c:v>0.57781863428034186</c:v>
                </c:pt>
                <c:pt idx="7">
                  <c:v>0.49548288497313908</c:v>
                </c:pt>
                <c:pt idx="8">
                  <c:v>0.42284104853061566</c:v>
                </c:pt>
                <c:pt idx="9">
                  <c:v>0.36463978611061315</c:v>
                </c:pt>
                <c:pt idx="10">
                  <c:v>0.34242182895118262</c:v>
                </c:pt>
                <c:pt idx="11">
                  <c:v>0.34149004036377151</c:v>
                </c:pt>
                <c:pt idx="12">
                  <c:v>0.2902176235094594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D5-4F9F-A2CA-2D8ECA033C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6691520"/>
        <c:axId val="2094351728"/>
      </c:barChart>
      <c:lineChart>
        <c:grouping val="standard"/>
        <c:varyColors val="0"/>
        <c:ser>
          <c:idx val="0"/>
          <c:order val="0"/>
          <c:tx>
            <c:strRef>
              <c:f>Correlogram!$C$3</c:f>
              <c:strCache>
                <c:ptCount val="1"/>
                <c:pt idx="0">
                  <c:v>lower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Correlogram!$A$4:$A$16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cat>
          <c:val>
            <c:numRef>
              <c:f>Correlogram!$C$4:$C$16</c:f>
              <c:numCache>
                <c:formatCode>General</c:formatCode>
                <c:ptCount val="13"/>
                <c:pt idx="1">
                  <c:v>-0.25960357162054321</c:v>
                </c:pt>
                <c:pt idx="2">
                  <c:v>-0.41440412462576204</c:v>
                </c:pt>
                <c:pt idx="3">
                  <c:v>-0.50120913121921717</c:v>
                </c:pt>
                <c:pt idx="4">
                  <c:v>-0.56295615191575432</c:v>
                </c:pt>
                <c:pt idx="5">
                  <c:v>-0.61482328565316957</c:v>
                </c:pt>
                <c:pt idx="6">
                  <c:v>-0.6582243473235474</c:v>
                </c:pt>
                <c:pt idx="7">
                  <c:v>-0.69156457410928285</c:v>
                </c:pt>
                <c:pt idx="8">
                  <c:v>-0.71508913052211942</c:v>
                </c:pt>
                <c:pt idx="9">
                  <c:v>-0.73174574126395897</c:v>
                </c:pt>
                <c:pt idx="10">
                  <c:v>-0.74389081130495782</c:v>
                </c:pt>
                <c:pt idx="11">
                  <c:v>-0.7544387322064674</c:v>
                </c:pt>
                <c:pt idx="12">
                  <c:v>-0.76478504625261923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D5-4F9F-A2CA-2D8ECA033CCA}"/>
            </c:ext>
          </c:extLst>
        </c:ser>
        <c:ser>
          <c:idx val="1"/>
          <c:order val="1"/>
          <c:tx>
            <c:strRef>
              <c:f>Correlogram!$D$3</c:f>
              <c:strCache>
                <c:ptCount val="1"/>
                <c:pt idx="0">
                  <c:v>upper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val>
            <c:numRef>
              <c:f>Correlogram!$D$4:$D$16</c:f>
              <c:numCache>
                <c:formatCode>General</c:formatCode>
                <c:ptCount val="13"/>
                <c:pt idx="1">
                  <c:v>0.25960357162054321</c:v>
                </c:pt>
                <c:pt idx="2">
                  <c:v>0.41440412462576204</c:v>
                </c:pt>
                <c:pt idx="3">
                  <c:v>0.50120913121921717</c:v>
                </c:pt>
                <c:pt idx="4">
                  <c:v>0.56295615191575432</c:v>
                </c:pt>
                <c:pt idx="5">
                  <c:v>0.61482328565316957</c:v>
                </c:pt>
                <c:pt idx="6">
                  <c:v>0.6582243473235474</c:v>
                </c:pt>
                <c:pt idx="7">
                  <c:v>0.69156457410928285</c:v>
                </c:pt>
                <c:pt idx="8">
                  <c:v>0.71508913052211942</c:v>
                </c:pt>
                <c:pt idx="9">
                  <c:v>0.73174574126395897</c:v>
                </c:pt>
                <c:pt idx="10">
                  <c:v>0.74389081130495782</c:v>
                </c:pt>
                <c:pt idx="11">
                  <c:v>0.7544387322064674</c:v>
                </c:pt>
                <c:pt idx="12">
                  <c:v>0.76478504625261923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D5-4F9F-A2CA-2D8ECA033C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691520"/>
        <c:axId val="2094351728"/>
      </c:lineChart>
      <c:catAx>
        <c:axId val="186691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094351728"/>
        <c:crosses val="autoZero"/>
        <c:auto val="1"/>
        <c:lblAlgn val="ctr"/>
        <c:lblOffset val="100"/>
        <c:noMultiLvlLbl val="0"/>
      </c:catAx>
      <c:valAx>
        <c:axId val="20943517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66915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'K = 3'!$J$10:$J$61</c:f>
              <c:numCache>
                <c:formatCode>#,##0.00</c:formatCode>
                <c:ptCount val="52"/>
                <c:pt idx="0">
                  <c:v>4486.0254273504252</c:v>
                </c:pt>
                <c:pt idx="1">
                  <c:v>2332.2587606837624</c:v>
                </c:pt>
                <c:pt idx="2">
                  <c:v>-4637.6301282051281</c:v>
                </c:pt>
                <c:pt idx="3">
                  <c:v>-627.98568376068579</c:v>
                </c:pt>
                <c:pt idx="4">
                  <c:v>-51.930128205145593</c:v>
                </c:pt>
                <c:pt idx="5">
                  <c:v>1216.7809829059734</c:v>
                </c:pt>
                <c:pt idx="6">
                  <c:v>2933.9254273504303</c:v>
                </c:pt>
                <c:pt idx="7">
                  <c:v>1564.6587606837638</c:v>
                </c:pt>
                <c:pt idx="8">
                  <c:v>225.38098290596099</c:v>
                </c:pt>
                <c:pt idx="9">
                  <c:v>-2229.3967948717982</c:v>
                </c:pt>
                <c:pt idx="10">
                  <c:v>-8103.6856837606865</c:v>
                </c:pt>
                <c:pt idx="11">
                  <c:v>582.23653846154411</c:v>
                </c:pt>
                <c:pt idx="12">
                  <c:v>1239.058760683758</c:v>
                </c:pt>
                <c:pt idx="13">
                  <c:v>5454.3254273504281</c:v>
                </c:pt>
                <c:pt idx="14">
                  <c:v>1010.5365384615507</c:v>
                </c:pt>
                <c:pt idx="15">
                  <c:v>1709.580982905969</c:v>
                </c:pt>
                <c:pt idx="16">
                  <c:v>-2314.3967948717873</c:v>
                </c:pt>
                <c:pt idx="17">
                  <c:v>2264.3143162393098</c:v>
                </c:pt>
                <c:pt idx="18">
                  <c:v>2168.3920940170974</c:v>
                </c:pt>
                <c:pt idx="19">
                  <c:v>-3076.4190170940128</c:v>
                </c:pt>
                <c:pt idx="20">
                  <c:v>-5999.9412393162384</c:v>
                </c:pt>
                <c:pt idx="21">
                  <c:v>-331.57457264956975</c:v>
                </c:pt>
                <c:pt idx="22">
                  <c:v>-69.407905982901866</c:v>
                </c:pt>
                <c:pt idx="23">
                  <c:v>26.714316239325854</c:v>
                </c:pt>
                <c:pt idx="24">
                  <c:v>5373.6476495726456</c:v>
                </c:pt>
                <c:pt idx="25">
                  <c:v>2818.125427350431</c:v>
                </c:pt>
                <c:pt idx="26">
                  <c:v>-3278.1967948717866</c:v>
                </c:pt>
                <c:pt idx="27">
                  <c:v>-6081.9967948717895</c:v>
                </c:pt>
                <c:pt idx="28">
                  <c:v>2410.1809829059785</c:v>
                </c:pt>
                <c:pt idx="29">
                  <c:v>4853.903205128212</c:v>
                </c:pt>
                <c:pt idx="30">
                  <c:v>3009.3698717948719</c:v>
                </c:pt>
                <c:pt idx="31">
                  <c:v>-1803.4079059829128</c:v>
                </c:pt>
                <c:pt idx="32">
                  <c:v>-3438.374572649569</c:v>
                </c:pt>
                <c:pt idx="33">
                  <c:v>-156.99679487179674</c:v>
                </c:pt>
                <c:pt idx="34">
                  <c:v>-7744.9856837606894</c:v>
                </c:pt>
                <c:pt idx="35">
                  <c:v>2501.0698717948835</c:v>
                </c:pt>
                <c:pt idx="36">
                  <c:v>4698.1920940171003</c:v>
                </c:pt>
                <c:pt idx="37">
                  <c:v>217.7920940171025</c:v>
                </c:pt>
                <c:pt idx="38">
                  <c:v>-8264.9190170940165</c:v>
                </c:pt>
                <c:pt idx="39">
                  <c:v>-4061.5856837606807</c:v>
                </c:pt>
                <c:pt idx="40">
                  <c:v>6347.7698717948733</c:v>
                </c:pt>
                <c:pt idx="41">
                  <c:v>10144.492094017096</c:v>
                </c:pt>
                <c:pt idx="42">
                  <c:v>2220.8476495726463</c:v>
                </c:pt>
                <c:pt idx="43">
                  <c:v>-9199.3856837606781</c:v>
                </c:pt>
                <c:pt idx="44">
                  <c:v>-6027.0745726495716</c:v>
                </c:pt>
                <c:pt idx="45">
                  <c:v>1385.6809829059803</c:v>
                </c:pt>
                <c:pt idx="46">
                  <c:v>4657.6920940170949</c:v>
                </c:pt>
                <c:pt idx="47">
                  <c:v>6898.7587606837587</c:v>
                </c:pt>
                <c:pt idx="48">
                  <c:v>832.51431623932513</c:v>
                </c:pt>
                <c:pt idx="49">
                  <c:v>-1855.3967948717946</c:v>
                </c:pt>
                <c:pt idx="50">
                  <c:v>-8776.0523504273569</c:v>
                </c:pt>
                <c:pt idx="51">
                  <c:v>2546.5143162393124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24-4420-AF99-5A550606DA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7858335"/>
        <c:axId val="589519119"/>
      </c:scatterChart>
      <c:valAx>
        <c:axId val="687858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519119"/>
        <c:crosses val="autoZero"/>
        <c:crossBetween val="midCat"/>
      </c:valAx>
      <c:valAx>
        <c:axId val="589519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8583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Box Plot with Outliers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'Shapiro Wilk Test'!$D$4</c:f>
              <c:strCache>
                <c:ptCount val="1"/>
                <c:pt idx="0">
                  <c:v>Min</c:v>
                </c:pt>
              </c:strCache>
            </c:strRef>
          </c:tx>
          <c:spPr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4472C4"/>
                  </a:solidFill>
                </a14:hiddenFill>
              </a:ext>
            </a:extLst>
          </c:spPr>
          <c:invertIfNegative val="0"/>
          <c:cat>
            <c:numRef>
              <c:f>'Shapiro Wilk Test'!$E$3</c:f>
              <c:numCache>
                <c:formatCode>#,##0.00</c:formatCode>
                <c:ptCount val="1"/>
                <c:pt idx="0">
                  <c:v>4486.0254273504252</c:v>
                </c:pt>
              </c:numCache>
            </c:numRef>
          </c:cat>
          <c:val>
            <c:numRef>
              <c:f>'Shapiro Wilk Test'!$E$4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70-4833-A426-B825567902BF}"/>
            </c:ext>
          </c:extLst>
        </c:ser>
        <c:ser>
          <c:idx val="1"/>
          <c:order val="1"/>
          <c:tx>
            <c:strRef>
              <c:f>'Shapiro Wilk Test'!$D$5</c:f>
              <c:strCache>
                <c:ptCount val="1"/>
                <c:pt idx="0">
                  <c:v>Q1-Min</c:v>
                </c:pt>
              </c:strCache>
            </c:strRef>
          </c:tx>
          <c:spPr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ED7D31"/>
                  </a:solidFill>
                </a14:hiddenFill>
              </a:ext>
            </a:extLst>
          </c:spPr>
          <c:invertIfNegative val="0"/>
          <c:errBars>
            <c:errBarType val="minus"/>
            <c:errValType val="percentage"/>
            <c:noEndCap val="0"/>
            <c:val val="100"/>
          </c:errBars>
          <c:cat>
            <c:numRef>
              <c:f>'Shapiro Wilk Test'!$E$3</c:f>
              <c:numCache>
                <c:formatCode>#,##0.00</c:formatCode>
                <c:ptCount val="1"/>
                <c:pt idx="0">
                  <c:v>4486.0254273504252</c:v>
                </c:pt>
              </c:numCache>
            </c:numRef>
          </c:cat>
          <c:val>
            <c:numRef>
              <c:f>'Shapiro Wilk Test'!$E$5</c:f>
              <c:numCache>
                <c:formatCode>General</c:formatCode>
                <c:ptCount val="1"/>
                <c:pt idx="0">
                  <c:v>6503.9777777777781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70-4833-A426-B825567902BF}"/>
            </c:ext>
          </c:extLst>
        </c:ser>
        <c:ser>
          <c:idx val="2"/>
          <c:order val="2"/>
          <c:tx>
            <c:strRef>
              <c:f>'Shapiro Wilk Test'!$D$6</c:f>
              <c:strCache>
                <c:ptCount val="1"/>
                <c:pt idx="0">
                  <c:v>Med-Q1</c:v>
                </c:pt>
              </c:strCache>
            </c:strRef>
          </c:tx>
          <c:invertIfNegative val="0"/>
          <c:cat>
            <c:numRef>
              <c:f>'Shapiro Wilk Test'!$E$3</c:f>
              <c:numCache>
                <c:formatCode>#,##0.00</c:formatCode>
                <c:ptCount val="1"/>
                <c:pt idx="0">
                  <c:v>4486.0254273504252</c:v>
                </c:pt>
              </c:numCache>
            </c:numRef>
          </c:cat>
          <c:val>
            <c:numRef>
              <c:f>'Shapiro Wilk Test'!$E$6</c:f>
              <c:numCache>
                <c:formatCode>General</c:formatCode>
                <c:ptCount val="1"/>
                <c:pt idx="0">
                  <c:v>3277.6444444444442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70-4833-A426-B825567902BF}"/>
            </c:ext>
          </c:extLst>
        </c:ser>
        <c:ser>
          <c:idx val="3"/>
          <c:order val="3"/>
          <c:tx>
            <c:strRef>
              <c:f>'Shapiro Wilk Test'!$D$7</c:f>
              <c:strCache>
                <c:ptCount val="1"/>
                <c:pt idx="0">
                  <c:v>Q3-Med</c:v>
                </c:pt>
              </c:strCache>
            </c:strRef>
          </c:tx>
          <c:invertIfNegative val="0"/>
          <c:errBars>
            <c:errBarType val="plus"/>
            <c:errValType val="cust"/>
            <c:noEndCap val="0"/>
            <c:plus>
              <c:numRef>
                <c:f>'Shapiro Wilk Test'!$E$8</c:f>
                <c:numCache>
                  <c:formatCode>General</c:formatCode>
                  <c:ptCount val="1"/>
                  <c:pt idx="0">
                    <c:v>7688.866666666665</c:v>
                  </c:pt>
                </c:numCache>
              </c:numRef>
            </c:plus>
          </c:errBars>
          <c:cat>
            <c:numRef>
              <c:f>'Shapiro Wilk Test'!$E$3</c:f>
              <c:numCache>
                <c:formatCode>#,##0.00</c:formatCode>
                <c:ptCount val="1"/>
                <c:pt idx="0">
                  <c:v>4486.0254273504252</c:v>
                </c:pt>
              </c:numCache>
            </c:numRef>
          </c:cat>
          <c:val>
            <c:numRef>
              <c:f>'Shapiro Wilk Test'!$E$7</c:f>
              <c:numCache>
                <c:formatCode>General</c:formatCode>
                <c:ptCount val="1"/>
                <c:pt idx="0">
                  <c:v>1873.3888888888869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70-4833-A426-B825567902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41980911"/>
        <c:axId val="589573359"/>
      </c:barChart>
      <c:scatterChart>
        <c:scatterStyle val="lineMarker"/>
        <c:varyColors val="0"/>
        <c:ser>
          <c:idx val="4"/>
          <c:order val="4"/>
          <c:tx>
            <c:v>m</c:v>
          </c:tx>
          <c:spPr>
            <a:ln w="19050">
              <a:noFill/>
            </a:ln>
          </c:spPr>
          <c:marker>
            <c:symbol val="x"/>
            <c:size val="5"/>
            <c:spPr>
              <a:ln>
                <a:solidFill>
                  <a:srgbClr val="000000"/>
                </a:solidFill>
                <a:prstDash val="solid"/>
              </a:ln>
            </c:spPr>
          </c:marker>
          <c:yVal>
            <c:numRef>
              <c:f>'Shapiro Wilk Test'!$E$9</c:f>
              <c:numCache>
                <c:formatCode>#,##0.00</c:formatCode>
                <c:ptCount val="1"/>
                <c:pt idx="0">
                  <c:v>9111.4244008714541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270-4833-A426-B825567902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1980911"/>
        <c:axId val="589573359"/>
      </c:scatterChart>
      <c:scatterChart>
        <c:scatterStyle val="lineMarker"/>
        <c:varyColors val="0"/>
        <c:ser>
          <c:idx val="5"/>
          <c:order val="5"/>
          <c:tx>
            <c:v>s</c:v>
          </c:tx>
          <c:spPr>
            <a:ln w="19050">
              <a:noFill/>
            </a:ln>
          </c:spPr>
          <c:marker>
            <c:symbol val="none"/>
          </c:marker>
          <c:yVal>
            <c:numLit>
              <c:formatCode>General</c:formatCode>
              <c:ptCount val="1"/>
              <c:pt idx="0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C270-4833-A426-B825567902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9450959"/>
        <c:axId val="589447599"/>
      </c:scatterChart>
      <c:catAx>
        <c:axId val="841980911"/>
        <c:scaling>
          <c:orientation val="minMax"/>
        </c:scaling>
        <c:delete val="0"/>
        <c:axPos val="b"/>
        <c:numFmt formatCode="#,##0.00" sourceLinked="1"/>
        <c:majorTickMark val="out"/>
        <c:minorTickMark val="none"/>
        <c:tickLblPos val="nextTo"/>
        <c:crossAx val="589573359"/>
        <c:crosses val="autoZero"/>
        <c:auto val="1"/>
        <c:lblAlgn val="ctr"/>
        <c:lblOffset val="100"/>
        <c:noMultiLvlLbl val="0"/>
      </c:catAx>
      <c:valAx>
        <c:axId val="589573359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841980911"/>
        <c:crosses val="autoZero"/>
        <c:crossBetween val="between"/>
      </c:valAx>
      <c:valAx>
        <c:axId val="589447599"/>
        <c:scaling>
          <c:orientation val="minMax"/>
          <c:max val="15800.614316239322"/>
          <c:min val="-9199.3856837606781"/>
        </c:scaling>
        <c:delete val="0"/>
        <c:axPos val="r"/>
        <c:numFmt formatCode="General" sourceLinked="1"/>
        <c:majorTickMark val="out"/>
        <c:minorTickMark val="none"/>
        <c:tickLblPos val="nextTo"/>
        <c:crossAx val="589450959"/>
        <c:crosses val="max"/>
        <c:crossBetween val="midCat"/>
      </c:valAx>
      <c:valAx>
        <c:axId val="589450959"/>
        <c:scaling>
          <c:orientation val="minMax"/>
        </c:scaling>
        <c:delete val="1"/>
        <c:axPos val="b"/>
        <c:majorTickMark val="out"/>
        <c:minorTickMark val="none"/>
        <c:tickLblPos val="nextTo"/>
        <c:crossAx val="589447599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'K = 5'!$J$14:$J$61</c:f>
              <c:numCache>
                <c:formatCode>#,##0.00</c:formatCode>
                <c:ptCount val="48"/>
                <c:pt idx="0">
                  <c:v>-1454.8811249999853</c:v>
                </c:pt>
                <c:pt idx="1">
                  <c:v>-1491.591124999999</c:v>
                </c:pt>
                <c:pt idx="2">
                  <c:v>3421.7948750000069</c:v>
                </c:pt>
                <c:pt idx="3">
                  <c:v>3035.4828750000124</c:v>
                </c:pt>
                <c:pt idx="4">
                  <c:v>1985.8348749999859</c:v>
                </c:pt>
                <c:pt idx="5">
                  <c:v>753.32687499999156</c:v>
                </c:pt>
                <c:pt idx="6">
                  <c:v>-7745.6871249999931</c:v>
                </c:pt>
                <c:pt idx="7">
                  <c:v>-3195.091124999999</c:v>
                </c:pt>
                <c:pt idx="8">
                  <c:v>-2810.8631249999853</c:v>
                </c:pt>
                <c:pt idx="9">
                  <c:v>1542.8768749999981</c:v>
                </c:pt>
                <c:pt idx="10">
                  <c:v>3115.6368749999783</c:v>
                </c:pt>
                <c:pt idx="11">
                  <c:v>5619.2428749999963</c:v>
                </c:pt>
                <c:pt idx="12">
                  <c:v>715.1628750000018</c:v>
                </c:pt>
                <c:pt idx="13">
                  <c:v>3726.2668749999866</c:v>
                </c:pt>
                <c:pt idx="14">
                  <c:v>2887.8768749999981</c:v>
                </c:pt>
                <c:pt idx="15">
                  <c:v>-2316.3691250000084</c:v>
                </c:pt>
                <c:pt idx="16">
                  <c:v>-5048.857124999995</c:v>
                </c:pt>
                <c:pt idx="17">
                  <c:v>-2087.4091249999947</c:v>
                </c:pt>
                <c:pt idx="18">
                  <c:v>-4787.0791250000038</c:v>
                </c:pt>
                <c:pt idx="19">
                  <c:v>-3316.1111249999922</c:v>
                </c:pt>
                <c:pt idx="20">
                  <c:v>5246.674874999997</c:v>
                </c:pt>
                <c:pt idx="21">
                  <c:v>4229.2768750000068</c:v>
                </c:pt>
                <c:pt idx="22">
                  <c:v>-391.67512500000157</c:v>
                </c:pt>
                <c:pt idx="23">
                  <c:v>-2490.2671250000058</c:v>
                </c:pt>
                <c:pt idx="24">
                  <c:v>707.10887499999444</c:v>
                </c:pt>
                <c:pt idx="25">
                  <c:v>930.62287499999729</c:v>
                </c:pt>
                <c:pt idx="26">
                  <c:v>2979.7948749999923</c:v>
                </c:pt>
                <c:pt idx="27">
                  <c:v>2400.4928749999999</c:v>
                </c:pt>
                <c:pt idx="28">
                  <c:v>-313.17512500000521</c:v>
                </c:pt>
                <c:pt idx="29">
                  <c:v>-542.48112499999843</c:v>
                </c:pt>
                <c:pt idx="30">
                  <c:v>-9612.9731250000077</c:v>
                </c:pt>
                <c:pt idx="31">
                  <c:v>-2003.5371250000062</c:v>
                </c:pt>
                <c:pt idx="32">
                  <c:v>1892.0388749999984</c:v>
                </c:pt>
                <c:pt idx="33">
                  <c:v>-1292.0991249999934</c:v>
                </c:pt>
                <c:pt idx="34">
                  <c:v>-5627.4671249999992</c:v>
                </c:pt>
                <c:pt idx="35">
                  <c:v>-3242.3131249999969</c:v>
                </c:pt>
                <c:pt idx="36">
                  <c:v>601.68887499999801</c:v>
                </c:pt>
                <c:pt idx="37">
                  <c:v>6469.0888749999958</c:v>
                </c:pt>
                <c:pt idx="38">
                  <c:v>6462.330874999996</c:v>
                </c:pt>
                <c:pt idx="39">
                  <c:v>-1108.0471250000064</c:v>
                </c:pt>
                <c:pt idx="40">
                  <c:v>-2800.3091250000034</c:v>
                </c:pt>
                <c:pt idx="41">
                  <c:v>-2887.2211249999946</c:v>
                </c:pt>
                <c:pt idx="42">
                  <c:v>-1990.9931250000009</c:v>
                </c:pt>
                <c:pt idx="43">
                  <c:v>5763.5348749999994</c:v>
                </c:pt>
                <c:pt idx="44">
                  <c:v>5772.7348749999928</c:v>
                </c:pt>
                <c:pt idx="45">
                  <c:v>3235.2548750000042</c:v>
                </c:pt>
                <c:pt idx="46">
                  <c:v>-5027.9351249999982</c:v>
                </c:pt>
                <c:pt idx="47">
                  <c:v>90.286874999994325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23-4B13-ABA6-20064448A3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6463839"/>
        <c:axId val="589464879"/>
      </c:scatterChart>
      <c:valAx>
        <c:axId val="956463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464879"/>
        <c:crosses val="autoZero"/>
        <c:crossBetween val="midCat"/>
      </c:valAx>
      <c:valAx>
        <c:axId val="589464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64638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Box Plot with Outliers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'Shapiro Wilk Test (K = 5)'!$D$4</c:f>
              <c:strCache>
                <c:ptCount val="1"/>
                <c:pt idx="0">
                  <c:v>Min</c:v>
                </c:pt>
              </c:strCache>
            </c:strRef>
          </c:tx>
          <c:spPr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4472C4"/>
                  </a:solidFill>
                </a14:hiddenFill>
              </a:ext>
            </a:extLst>
          </c:spPr>
          <c:invertIfNegative val="0"/>
          <c:cat>
            <c:numRef>
              <c:f>'Shapiro Wilk Test (K = 5)'!$E$3</c:f>
              <c:numCache>
                <c:formatCode>#,##0.00</c:formatCode>
                <c:ptCount val="1"/>
                <c:pt idx="0">
                  <c:v>-1454.8811249999853</c:v>
                </c:pt>
              </c:numCache>
            </c:numRef>
          </c:cat>
          <c:val>
            <c:numRef>
              <c:f>'Shapiro Wilk Test (K = 5)'!$E$4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1B-4888-99F3-88607669CFE4}"/>
            </c:ext>
          </c:extLst>
        </c:ser>
        <c:ser>
          <c:idx val="1"/>
          <c:order val="1"/>
          <c:tx>
            <c:strRef>
              <c:f>'Shapiro Wilk Test (K = 5)'!$D$5</c:f>
              <c:strCache>
                <c:ptCount val="1"/>
                <c:pt idx="0">
                  <c:v>Q1-Min</c:v>
                </c:pt>
              </c:strCache>
            </c:strRef>
          </c:tx>
          <c:spPr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ED7D31"/>
                  </a:solidFill>
                </a14:hiddenFill>
              </a:ext>
            </a:extLst>
          </c:spPr>
          <c:invertIfNegative val="0"/>
          <c:errBars>
            <c:errBarType val="minus"/>
            <c:errValType val="percentage"/>
            <c:noEndCap val="0"/>
            <c:val val="100"/>
          </c:errBars>
          <c:cat>
            <c:numRef>
              <c:f>'Shapiro Wilk Test (K = 5)'!$E$3</c:f>
              <c:numCache>
                <c:formatCode>#,##0.00</c:formatCode>
                <c:ptCount val="1"/>
                <c:pt idx="0">
                  <c:v>-1454.8811249999853</c:v>
                </c:pt>
              </c:numCache>
            </c:numRef>
          </c:cat>
          <c:val>
            <c:numRef>
              <c:f>'Shapiro Wilk Test (K = 5)'!$E$5</c:f>
              <c:numCache>
                <c:formatCode>General</c:formatCode>
                <c:ptCount val="1"/>
                <c:pt idx="0">
                  <c:v>6967.6850000000031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1B-4888-99F3-88607669CFE4}"/>
            </c:ext>
          </c:extLst>
        </c:ser>
        <c:ser>
          <c:idx val="2"/>
          <c:order val="2"/>
          <c:tx>
            <c:strRef>
              <c:f>'Shapiro Wilk Test (K = 5)'!$D$6</c:f>
              <c:strCache>
                <c:ptCount val="1"/>
                <c:pt idx="0">
                  <c:v>Med-Q1</c:v>
                </c:pt>
              </c:strCache>
            </c:strRef>
          </c:tx>
          <c:invertIfNegative val="0"/>
          <c:cat>
            <c:numRef>
              <c:f>'Shapiro Wilk Test (K = 5)'!$E$3</c:f>
              <c:numCache>
                <c:formatCode>#,##0.00</c:formatCode>
                <c:ptCount val="1"/>
                <c:pt idx="0">
                  <c:v>-1454.8811249999853</c:v>
                </c:pt>
              </c:numCache>
            </c:numRef>
          </c:cat>
          <c:val>
            <c:numRef>
              <c:f>'Shapiro Wilk Test (K = 5)'!$E$6</c:f>
              <c:numCache>
                <c:formatCode>General</c:formatCode>
                <c:ptCount val="1"/>
                <c:pt idx="0">
                  <c:v>2735.5749999999989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1B-4888-99F3-88607669CFE4}"/>
            </c:ext>
          </c:extLst>
        </c:ser>
        <c:ser>
          <c:idx val="3"/>
          <c:order val="3"/>
          <c:tx>
            <c:strRef>
              <c:f>'Shapiro Wilk Test (K = 5)'!$D$7</c:f>
              <c:strCache>
                <c:ptCount val="1"/>
                <c:pt idx="0">
                  <c:v>Q3-Med</c:v>
                </c:pt>
              </c:strCache>
            </c:strRef>
          </c:tx>
          <c:invertIfNegative val="0"/>
          <c:errBars>
            <c:errBarType val="plus"/>
            <c:errValType val="cust"/>
            <c:noEndCap val="0"/>
            <c:plus>
              <c:numRef>
                <c:f>'Shapiro Wilk Test (K = 5)'!$E$8</c:f>
                <c:numCache>
                  <c:formatCode>General</c:formatCode>
                  <c:ptCount val="1"/>
                  <c:pt idx="0">
                    <c:v>3461.4499999999935</c:v>
                  </c:pt>
                </c:numCache>
              </c:numRef>
            </c:plus>
          </c:errBars>
          <c:cat>
            <c:numRef>
              <c:f>'Shapiro Wilk Test (K = 5)'!$E$3</c:f>
              <c:numCache>
                <c:formatCode>#,##0.00</c:formatCode>
                <c:ptCount val="1"/>
                <c:pt idx="0">
                  <c:v>-1454.8811249999853</c:v>
                </c:pt>
              </c:numCache>
            </c:numRef>
          </c:cat>
          <c:val>
            <c:numRef>
              <c:f>'Shapiro Wilk Test (K = 5)'!$E$7</c:f>
              <c:numCache>
                <c:formatCode>General</c:formatCode>
                <c:ptCount val="1"/>
                <c:pt idx="0">
                  <c:v>2917.352000000008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1B-4888-99F3-88607669CF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55203311"/>
        <c:axId val="589531599"/>
      </c:barChart>
      <c:scatterChart>
        <c:scatterStyle val="lineMarker"/>
        <c:varyColors val="0"/>
        <c:ser>
          <c:idx val="4"/>
          <c:order val="4"/>
          <c:tx>
            <c:v>m</c:v>
          </c:tx>
          <c:spPr>
            <a:ln w="19050">
              <a:noFill/>
            </a:ln>
          </c:spPr>
          <c:marker>
            <c:symbol val="x"/>
            <c:size val="5"/>
            <c:spPr>
              <a:ln>
                <a:solidFill>
                  <a:srgbClr val="000000"/>
                </a:solidFill>
                <a:prstDash val="solid"/>
              </a:ln>
            </c:spPr>
          </c:marker>
          <c:yVal>
            <c:numRef>
              <c:f>'Shapiro Wilk Test (K = 5)'!$E$9</c:f>
              <c:numCache>
                <c:formatCode>#,##0.00</c:formatCode>
                <c:ptCount val="1"/>
                <c:pt idx="0">
                  <c:v>9643.9280425531979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41B-4888-99F3-88607669CF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5203311"/>
        <c:axId val="589531599"/>
      </c:scatterChart>
      <c:scatterChart>
        <c:scatterStyle val="lineMarker"/>
        <c:varyColors val="0"/>
        <c:ser>
          <c:idx val="5"/>
          <c:order val="5"/>
          <c:tx>
            <c:v>s</c:v>
          </c:tx>
          <c:spPr>
            <a:ln w="19050">
              <a:noFill/>
            </a:ln>
          </c:spPr>
          <c:marker>
            <c:symbol val="none"/>
          </c:marker>
          <c:yVal>
            <c:numLit>
              <c:formatCode>General</c:formatCode>
              <c:ptCount val="1"/>
              <c:pt idx="0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341B-4888-99F3-88607669CF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9521039"/>
        <c:axId val="589524399"/>
      </c:scatterChart>
      <c:catAx>
        <c:axId val="855203311"/>
        <c:scaling>
          <c:orientation val="minMax"/>
        </c:scaling>
        <c:delete val="0"/>
        <c:axPos val="b"/>
        <c:numFmt formatCode="#,##0.00" sourceLinked="1"/>
        <c:majorTickMark val="out"/>
        <c:minorTickMark val="none"/>
        <c:tickLblPos val="nextTo"/>
        <c:crossAx val="589531599"/>
        <c:crosses val="autoZero"/>
        <c:auto val="1"/>
        <c:lblAlgn val="ctr"/>
        <c:lblOffset val="100"/>
        <c:noMultiLvlLbl val="0"/>
      </c:catAx>
      <c:valAx>
        <c:axId val="589531599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855203311"/>
        <c:crosses val="autoZero"/>
        <c:crossBetween val="between"/>
      </c:valAx>
      <c:valAx>
        <c:axId val="589524399"/>
        <c:scaling>
          <c:orientation val="minMax"/>
          <c:max val="8387.0268749999923"/>
          <c:min val="-9612.9731250000077"/>
        </c:scaling>
        <c:delete val="0"/>
        <c:axPos val="r"/>
        <c:numFmt formatCode="General" sourceLinked="1"/>
        <c:majorTickMark val="out"/>
        <c:minorTickMark val="none"/>
        <c:tickLblPos val="nextTo"/>
        <c:crossAx val="589521039"/>
        <c:crosses val="max"/>
        <c:crossBetween val="midCat"/>
      </c:valAx>
      <c:valAx>
        <c:axId val="589521039"/>
        <c:scaling>
          <c:orientation val="minMax"/>
        </c:scaling>
        <c:delete val="1"/>
        <c:axPos val="b"/>
        <c:majorTickMark val="out"/>
        <c:minorTickMark val="none"/>
        <c:tickLblPos val="nextTo"/>
        <c:crossAx val="589524399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'K = 4'!$J$12:$J$61</c:f>
              <c:numCache>
                <c:formatCode>#,##0.00</c:formatCode>
                <c:ptCount val="50"/>
                <c:pt idx="0">
                  <c:v>-1700.8335416666669</c:v>
                </c:pt>
                <c:pt idx="1">
                  <c:v>362.50604166668199</c:v>
                </c:pt>
                <c:pt idx="2">
                  <c:v>-2180.8397916666727</c:v>
                </c:pt>
                <c:pt idx="3">
                  <c:v>-90.418958333339106</c:v>
                </c:pt>
                <c:pt idx="4">
                  <c:v>4562.0914583333397</c:v>
                </c:pt>
                <c:pt idx="5">
                  <c:v>2023.9081249999981</c:v>
                </c:pt>
                <c:pt idx="6">
                  <c:v>1630.3206249999857</c:v>
                </c:pt>
                <c:pt idx="7">
                  <c:v>-608.81270833332383</c:v>
                </c:pt>
                <c:pt idx="8">
                  <c:v>-8837.2252083333333</c:v>
                </c:pt>
                <c:pt idx="9">
                  <c:v>-1725.1814583333253</c:v>
                </c:pt>
                <c:pt idx="10">
                  <c:v>-1042.7481250000019</c:v>
                </c:pt>
                <c:pt idx="11">
                  <c:v>3813.0081249999857</c:v>
                </c:pt>
                <c:pt idx="12">
                  <c:v>4581.797708333339</c:v>
                </c:pt>
                <c:pt idx="13">
                  <c:v>3148.4310416666667</c:v>
                </c:pt>
                <c:pt idx="14">
                  <c:v>-607.2085416666705</c:v>
                </c:pt>
                <c:pt idx="15">
                  <c:v>2066.6685416666733</c:v>
                </c:pt>
                <c:pt idx="16">
                  <c:v>2556.4914583333266</c:v>
                </c:pt>
                <c:pt idx="17">
                  <c:v>-2843.8356249999961</c:v>
                </c:pt>
                <c:pt idx="18">
                  <c:v>-4706.206458333334</c:v>
                </c:pt>
                <c:pt idx="19">
                  <c:v>-2314.1668749999953</c:v>
                </c:pt>
                <c:pt idx="20">
                  <c:v>-3139.8335416666632</c:v>
                </c:pt>
                <c:pt idx="21">
                  <c:v>-580.57520833333183</c:v>
                </c:pt>
                <c:pt idx="22">
                  <c:v>6490.3956250000047</c:v>
                </c:pt>
                <c:pt idx="23">
                  <c:v>3353.9268749999901</c:v>
                </c:pt>
                <c:pt idx="24">
                  <c:v>-1061.8877083333318</c:v>
                </c:pt>
                <c:pt idx="25">
                  <c:v>-3998.6397916666574</c:v>
                </c:pt>
                <c:pt idx="26">
                  <c:v>-385.95645833333037</c:v>
                </c:pt>
                <c:pt idx="27">
                  <c:v>2611.2935416666623</c:v>
                </c:pt>
                <c:pt idx="28">
                  <c:v>4361.2685416666682</c:v>
                </c:pt>
                <c:pt idx="29">
                  <c:v>1795.7497916666616</c:v>
                </c:pt>
                <c:pt idx="30">
                  <c:v>-2664.7397916666669</c:v>
                </c:pt>
                <c:pt idx="31">
                  <c:v>-1227.010624999999</c:v>
                </c:pt>
                <c:pt idx="32">
                  <c:v>-9163.7627083333355</c:v>
                </c:pt>
                <c:pt idx="33">
                  <c:v>336.33729166667035</c:v>
                </c:pt>
                <c:pt idx="34">
                  <c:v>3872.2102083333448</c:v>
                </c:pt>
                <c:pt idx="35">
                  <c:v>-644.23770833333401</c:v>
                </c:pt>
                <c:pt idx="36">
                  <c:v>-4335.8397916666618</c:v>
                </c:pt>
                <c:pt idx="37">
                  <c:v>-5165.3647916666741</c:v>
                </c:pt>
                <c:pt idx="38">
                  <c:v>1883.7331250000025</c:v>
                </c:pt>
                <c:pt idx="39">
                  <c:v>9066.6497916666667</c:v>
                </c:pt>
                <c:pt idx="40">
                  <c:v>6864.0352083333382</c:v>
                </c:pt>
                <c:pt idx="41">
                  <c:v>-4116.0918750000037</c:v>
                </c:pt>
                <c:pt idx="42">
                  <c:v>-6073.7002083333409</c:v>
                </c:pt>
                <c:pt idx="43">
                  <c:v>-3224.7168749999983</c:v>
                </c:pt>
                <c:pt idx="44">
                  <c:v>1093.1685416666678</c:v>
                </c:pt>
                <c:pt idx="45">
                  <c:v>8885.0143749999988</c:v>
                </c:pt>
                <c:pt idx="46">
                  <c:v>4534.8664583333339</c:v>
                </c:pt>
                <c:pt idx="47">
                  <c:v>560.24770833333605</c:v>
                </c:pt>
                <c:pt idx="48">
                  <c:v>-7355.0377083333315</c:v>
                </c:pt>
                <c:pt idx="49">
                  <c:v>-659.24812500000553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54-4756-9344-4FF0F45845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8535519"/>
        <c:axId val="589527759"/>
      </c:scatterChart>
      <c:valAx>
        <c:axId val="948535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527759"/>
        <c:crosses val="autoZero"/>
        <c:crossBetween val="midCat"/>
      </c:valAx>
      <c:valAx>
        <c:axId val="589527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535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Box Plot with Outliers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'Shapiro Wilk Test (K = 4)'!$D$4</c:f>
              <c:strCache>
                <c:ptCount val="1"/>
                <c:pt idx="0">
                  <c:v>Min</c:v>
                </c:pt>
              </c:strCache>
            </c:strRef>
          </c:tx>
          <c:spPr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4472C4"/>
                  </a:solidFill>
                </a14:hiddenFill>
              </a:ext>
            </a:extLst>
          </c:spPr>
          <c:invertIfNegative val="0"/>
          <c:cat>
            <c:numRef>
              <c:f>'Shapiro Wilk Test (K = 4)'!$E$3</c:f>
              <c:numCache>
                <c:formatCode>#,##0.00</c:formatCode>
                <c:ptCount val="1"/>
                <c:pt idx="0">
                  <c:v>-1700.8335416666669</c:v>
                </c:pt>
              </c:numCache>
            </c:numRef>
          </c:cat>
          <c:val>
            <c:numRef>
              <c:f>'Shapiro Wilk Test (K = 4)'!$E$4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30-40B1-8C1C-FB10458977C1}"/>
            </c:ext>
          </c:extLst>
        </c:ser>
        <c:ser>
          <c:idx val="1"/>
          <c:order val="1"/>
          <c:tx>
            <c:strRef>
              <c:f>'Shapiro Wilk Test (K = 4)'!$D$5</c:f>
              <c:strCache>
                <c:ptCount val="1"/>
                <c:pt idx="0">
                  <c:v>Q1-Min</c:v>
                </c:pt>
              </c:strCache>
            </c:strRef>
          </c:tx>
          <c:spPr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ED7D31"/>
                  </a:solidFill>
                </a14:hiddenFill>
              </a:ext>
            </a:extLst>
          </c:spPr>
          <c:invertIfNegative val="0"/>
          <c:errBars>
            <c:errBarType val="minus"/>
            <c:errValType val="percentage"/>
            <c:noEndCap val="0"/>
            <c:val val="100"/>
          </c:errBars>
          <c:cat>
            <c:numRef>
              <c:f>'Shapiro Wilk Test (K = 4)'!$E$3</c:f>
              <c:numCache>
                <c:formatCode>#,##0.00</c:formatCode>
                <c:ptCount val="1"/>
                <c:pt idx="0">
                  <c:v>-1700.8335416666669</c:v>
                </c:pt>
              </c:numCache>
            </c:numRef>
          </c:cat>
          <c:val>
            <c:numRef>
              <c:f>'Shapiro Wilk Test (K = 4)'!$E$5</c:f>
              <c:numCache>
                <c:formatCode>General</c:formatCode>
                <c:ptCount val="1"/>
                <c:pt idx="0">
                  <c:v>6499.0229166666686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30-40B1-8C1C-FB10458977C1}"/>
            </c:ext>
          </c:extLst>
        </c:ser>
        <c:ser>
          <c:idx val="2"/>
          <c:order val="2"/>
          <c:tx>
            <c:strRef>
              <c:f>'Shapiro Wilk Test (K = 4)'!$D$6</c:f>
              <c:strCache>
                <c:ptCount val="1"/>
                <c:pt idx="0">
                  <c:v>Med-Q1</c:v>
                </c:pt>
              </c:strCache>
            </c:strRef>
          </c:tx>
          <c:invertIfNegative val="0"/>
          <c:cat>
            <c:numRef>
              <c:f>'Shapiro Wilk Test (K = 4)'!$E$3</c:f>
              <c:numCache>
                <c:formatCode>#,##0.00</c:formatCode>
                <c:ptCount val="1"/>
                <c:pt idx="0">
                  <c:v>-1700.8335416666669</c:v>
                </c:pt>
              </c:numCache>
            </c:numRef>
          </c:cat>
          <c:val>
            <c:numRef>
              <c:f>'Shapiro Wilk Test (K = 4)'!$E$6</c:f>
              <c:numCache>
                <c:formatCode>General</c:formatCode>
                <c:ptCount val="1"/>
                <c:pt idx="0">
                  <c:v>2278.7833333333365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30-40B1-8C1C-FB10458977C1}"/>
            </c:ext>
          </c:extLst>
        </c:ser>
        <c:ser>
          <c:idx val="3"/>
          <c:order val="3"/>
          <c:tx>
            <c:strRef>
              <c:f>'Shapiro Wilk Test (K = 4)'!$D$7</c:f>
              <c:strCache>
                <c:ptCount val="1"/>
                <c:pt idx="0">
                  <c:v>Q3-Med</c:v>
                </c:pt>
              </c:strCache>
            </c:strRef>
          </c:tx>
          <c:invertIfNegative val="0"/>
          <c:errBars>
            <c:errBarType val="plus"/>
            <c:errValType val="cust"/>
            <c:noEndCap val="0"/>
            <c:plus>
              <c:numRef>
                <c:f>'Shapiro Wilk Test (K = 4)'!$E$8</c:f>
                <c:numCache>
                  <c:formatCode>General</c:formatCode>
                  <c:ptCount val="1"/>
                  <c:pt idx="0">
                    <c:v>6455.3562500000044</c:v>
                  </c:pt>
                </c:numCache>
              </c:numRef>
            </c:plus>
          </c:errBars>
          <c:cat>
            <c:numRef>
              <c:f>'Shapiro Wilk Test (K = 4)'!$E$3</c:f>
              <c:numCache>
                <c:formatCode>#,##0.00</c:formatCode>
                <c:ptCount val="1"/>
                <c:pt idx="0">
                  <c:v>-1700.8335416666669</c:v>
                </c:pt>
              </c:numCache>
            </c:numRef>
          </c:cat>
          <c:val>
            <c:numRef>
              <c:f>'Shapiro Wilk Test (K = 4)'!$E$7</c:f>
              <c:numCache>
                <c:formatCode>General</c:formatCode>
                <c:ptCount val="1"/>
                <c:pt idx="0">
                  <c:v>2997.2499999999927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B30-40B1-8C1C-FB10458977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7835135"/>
        <c:axId val="589449039"/>
      </c:barChart>
      <c:scatterChart>
        <c:scatterStyle val="lineMarker"/>
        <c:varyColors val="0"/>
        <c:ser>
          <c:idx val="4"/>
          <c:order val="4"/>
          <c:tx>
            <c:v>m</c:v>
          </c:tx>
          <c:spPr>
            <a:ln w="19050">
              <a:noFill/>
            </a:ln>
          </c:spPr>
          <c:marker>
            <c:symbol val="x"/>
            <c:size val="5"/>
            <c:spPr>
              <a:ln>
                <a:solidFill>
                  <a:srgbClr val="000000"/>
                </a:solidFill>
                <a:prstDash val="solid"/>
              </a:ln>
            </c:spPr>
          </c:marker>
          <c:yVal>
            <c:numRef>
              <c:f>'Shapiro Wilk Test (K = 4)'!$E$9</c:f>
              <c:numCache>
                <c:formatCode>#,##0.00</c:formatCode>
                <c:ptCount val="1"/>
                <c:pt idx="0">
                  <c:v>9198.4735969387784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B30-40B1-8C1C-FB10458977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7835135"/>
        <c:axId val="589449039"/>
      </c:scatterChart>
      <c:scatterChart>
        <c:scatterStyle val="lineMarker"/>
        <c:varyColors val="0"/>
        <c:ser>
          <c:idx val="5"/>
          <c:order val="5"/>
          <c:tx>
            <c:v>s</c:v>
          </c:tx>
          <c:spPr>
            <a:ln w="19050">
              <a:noFill/>
            </a:ln>
          </c:spPr>
          <c:marker>
            <c:symbol val="none"/>
          </c:marker>
          <c:yVal>
            <c:numLit>
              <c:formatCode>General</c:formatCode>
              <c:ptCount val="1"/>
              <c:pt idx="0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CB30-40B1-8C1C-FB10458977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9463919"/>
        <c:axId val="589465839"/>
      </c:scatterChart>
      <c:catAx>
        <c:axId val="687835135"/>
        <c:scaling>
          <c:orientation val="minMax"/>
        </c:scaling>
        <c:delete val="0"/>
        <c:axPos val="b"/>
        <c:numFmt formatCode="#,##0.00" sourceLinked="1"/>
        <c:majorTickMark val="out"/>
        <c:minorTickMark val="none"/>
        <c:tickLblPos val="nextTo"/>
        <c:crossAx val="589449039"/>
        <c:crosses val="autoZero"/>
        <c:auto val="1"/>
        <c:lblAlgn val="ctr"/>
        <c:lblOffset val="100"/>
        <c:noMultiLvlLbl val="0"/>
      </c:catAx>
      <c:valAx>
        <c:axId val="589449039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87835135"/>
        <c:crosses val="autoZero"/>
        <c:crossBetween val="between"/>
      </c:valAx>
      <c:valAx>
        <c:axId val="589465839"/>
        <c:scaling>
          <c:orientation val="minMax"/>
          <c:max val="10836.237291666665"/>
          <c:min val="-9163.7627083333355"/>
        </c:scaling>
        <c:delete val="0"/>
        <c:axPos val="r"/>
        <c:numFmt formatCode="General" sourceLinked="1"/>
        <c:majorTickMark val="out"/>
        <c:minorTickMark val="none"/>
        <c:tickLblPos val="nextTo"/>
        <c:crossAx val="589463919"/>
        <c:crosses val="max"/>
        <c:crossBetween val="midCat"/>
      </c:valAx>
      <c:valAx>
        <c:axId val="589463919"/>
        <c:scaling>
          <c:orientation val="minMax"/>
        </c:scaling>
        <c:delete val="1"/>
        <c:axPos val="b"/>
        <c:majorTickMark val="out"/>
        <c:minorTickMark val="none"/>
        <c:tickLblPos val="nextTo"/>
        <c:crossAx val="589465839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130175</xdr:colOff>
      <xdr:row>8</xdr:row>
      <xdr:rowOff>123825</xdr:rowOff>
    </xdr:from>
    <xdr:to>
      <xdr:col>16</xdr:col>
      <xdr:colOff>434975</xdr:colOff>
      <xdr:row>23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E14CF7-957F-7211-A52A-F33E2A371E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367281</xdr:colOff>
      <xdr:row>2</xdr:row>
      <xdr:rowOff>145691</xdr:rowOff>
    </xdr:from>
    <xdr:to>
      <xdr:col>22</xdr:col>
      <xdr:colOff>34685</xdr:colOff>
      <xdr:row>17</xdr:row>
      <xdr:rowOff>126641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A72006-CFAF-54F6-3B3D-C217192092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130175</xdr:colOff>
      <xdr:row>8</xdr:row>
      <xdr:rowOff>123825</xdr:rowOff>
    </xdr:from>
    <xdr:to>
      <xdr:col>16</xdr:col>
      <xdr:colOff>434975</xdr:colOff>
      <xdr:row>23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C8FCE2-5557-7CFF-E416-275ACBBA39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76499</xdr:colOff>
      <xdr:row>0</xdr:row>
      <xdr:rowOff>181154</xdr:rowOff>
    </xdr:from>
    <xdr:to>
      <xdr:col>22</xdr:col>
      <xdr:colOff>381300</xdr:colOff>
      <xdr:row>15</xdr:row>
      <xdr:rowOff>165099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2A9957-F969-AC2D-310D-ED52DDF426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130175</xdr:colOff>
      <xdr:row>8</xdr:row>
      <xdr:rowOff>123825</xdr:rowOff>
    </xdr:from>
    <xdr:to>
      <xdr:col>16</xdr:col>
      <xdr:colOff>434975</xdr:colOff>
      <xdr:row>23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34638E-C7D7-DC3A-AFEC-A52ECD9DE8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197029</xdr:colOff>
      <xdr:row>3</xdr:row>
      <xdr:rowOff>31150</xdr:rowOff>
    </xdr:from>
    <xdr:to>
      <xdr:col>22</xdr:col>
      <xdr:colOff>501829</xdr:colOff>
      <xdr:row>18</xdr:row>
      <xdr:rowOff>12100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6FB59F-FEA4-C9C6-9DC0-767ECE6557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130175</xdr:colOff>
      <xdr:row>8</xdr:row>
      <xdr:rowOff>120650</xdr:rowOff>
    </xdr:from>
    <xdr:to>
      <xdr:col>16</xdr:col>
      <xdr:colOff>434975</xdr:colOff>
      <xdr:row>23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BFE86B-C962-1688-881A-A8FF94503B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cbaja/Downloads/XRealStats.xlam" TargetMode="External"/><Relationship Id="rId2" Type="http://schemas.openxmlformats.org/officeDocument/2006/relationships/externalLinkPath" Target="file:///C:\Users\cbaja\Downloads\XRealStats.xlam" TargetMode="External"/><Relationship Id="rId1" Type="http://schemas.openxmlformats.org/officeDocument/2006/relationships/externalLinkPath" Target="/Users/cbaja/Downloads/XRealStats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nfig"/>
      <sheetName val="Wilcoxon Table"/>
      <sheetName val="Mann Table"/>
      <sheetName val="Runs Table"/>
      <sheetName val="KS Table"/>
      <sheetName val="KS2 Table"/>
      <sheetName val="Lil Table"/>
      <sheetName val="AD Table"/>
      <sheetName val="AD2 Table"/>
      <sheetName val="SW Table"/>
      <sheetName val="Stud. Q Table"/>
      <sheetName val="Stud. Q Table 2"/>
      <sheetName val="Sp Rho Table"/>
      <sheetName val="Ken Tau Table"/>
      <sheetName val="Durbin Table"/>
      <sheetName val="Dunnett Table"/>
      <sheetName val="Dunnett 1"/>
      <sheetName val="Kendall Tc"/>
      <sheetName val="Kendall u"/>
      <sheetName val="Page Table"/>
      <sheetName val="Prime"/>
      <sheetName val="MSSD"/>
      <sheetName val="Dict"/>
      <sheetName val="ADict"/>
      <sheetName val="L4 2"/>
      <sheetName val="L8 2"/>
      <sheetName val="L8 42"/>
      <sheetName val="L9 3"/>
      <sheetName val="L12 2"/>
      <sheetName val="L16 2"/>
      <sheetName val="L16 4"/>
      <sheetName val="L16 42a"/>
      <sheetName val="L18 23"/>
      <sheetName val="L18 63"/>
      <sheetName val="L25 5"/>
      <sheetName val="L27 3"/>
      <sheetName val="L32 2"/>
      <sheetName val="L32 24"/>
      <sheetName val="L36 23a"/>
      <sheetName val="L36 23b"/>
      <sheetName val="L50 25"/>
      <sheetName val="L54 23"/>
      <sheetName val="L64 4"/>
      <sheetName val="T2"/>
      <sheetName val="T3"/>
      <sheetName val="T4"/>
      <sheetName val="XRealStats"/>
    </sheetNames>
    <definedNames>
      <definedName name="ACF"/>
      <definedName name="ADIFF"/>
      <definedName name="DAGOSTINO"/>
      <definedName name="DPTEST"/>
      <definedName name="IQR"/>
      <definedName name="LJUNG"/>
      <definedName name="MAD"/>
      <definedName name="SHAPIRO"/>
      <definedName name="SWTEST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52E5F-1A11-49DD-9E36-B1D6CBB05C68}">
  <dimension ref="A1:D16"/>
  <sheetViews>
    <sheetView workbookViewId="0">
      <selection activeCell="G23" sqref="G23"/>
    </sheetView>
  </sheetViews>
  <sheetFormatPr defaultRowHeight="14.3" x14ac:dyDescent="0.25"/>
  <sheetData>
    <row r="1" spans="1:4" x14ac:dyDescent="0.25">
      <c r="A1" t="s">
        <v>6</v>
      </c>
      <c r="C1" t="s">
        <v>8</v>
      </c>
      <c r="D1" s="3">
        <v>0.05</v>
      </c>
    </row>
    <row r="3" spans="1:4" x14ac:dyDescent="0.25">
      <c r="A3" s="4" t="s">
        <v>9</v>
      </c>
      <c r="B3" s="4" t="s">
        <v>7</v>
      </c>
      <c r="C3" s="4" t="s">
        <v>10</v>
      </c>
      <c r="D3" s="4" t="s">
        <v>11</v>
      </c>
    </row>
    <row r="4" spans="1:4" x14ac:dyDescent="0.25">
      <c r="A4">
        <v>0</v>
      </c>
      <c r="B4">
        <f>[1]!ACF('K = 3'!$B$5:$B$61,A4)</f>
        <v>1</v>
      </c>
    </row>
    <row r="5" spans="1:4" x14ac:dyDescent="0.25">
      <c r="A5">
        <f>A4+1</f>
        <v>1</v>
      </c>
      <c r="B5">
        <f>[1]!ACF('K = 3'!$B$5:$B$61,A5)</f>
        <v>0.87981836025918903</v>
      </c>
      <c r="C5">
        <f>-D5</f>
        <v>-0.25960357162054321</v>
      </c>
      <c r="D5">
        <f>_xlfn.NORM.S.INV(1-$D$1/2)/SQRT(COUNT('K = 3'!$B$5:$B$61))</f>
        <v>0.25960357162054321</v>
      </c>
    </row>
    <row r="6" spans="1:4" x14ac:dyDescent="0.25">
      <c r="A6">
        <f t="shared" ref="A6:A16" si="0">A5+1</f>
        <v>2</v>
      </c>
      <c r="B6">
        <f>[1]!ACF('K = 3'!$B$5:$B$61,A6)</f>
        <v>0.76789663058390611</v>
      </c>
      <c r="C6">
        <f>-D6</f>
        <v>-0.41440412462576204</v>
      </c>
      <c r="D6">
        <f>_xlfn.NORM.S.INV(1-$D$1/2)*SQRT((1+2*SUMSQ(B$5:B5))/COUNT('K = 3'!$B$5:$B$61))</f>
        <v>0.41440412462576204</v>
      </c>
    </row>
    <row r="7" spans="1:4" x14ac:dyDescent="0.25">
      <c r="A7">
        <f t="shared" si="0"/>
        <v>3</v>
      </c>
      <c r="B7">
        <f>[1]!ACF('K = 3'!$B$5:$B$61,A7)</f>
        <v>0.69821132067141545</v>
      </c>
      <c r="C7">
        <f t="shared" ref="C7:C16" si="1">-D7</f>
        <v>-0.50120913121921717</v>
      </c>
      <c r="D7">
        <f>_xlfn.NORM.S.INV(1-$D$1/2)*SQRT((1+2*SUMSQ(B$5:B6))/COUNT('K = 3'!$B$5:$B$61))</f>
        <v>0.50120913121921717</v>
      </c>
    </row>
    <row r="8" spans="1:4" x14ac:dyDescent="0.25">
      <c r="A8">
        <f t="shared" si="0"/>
        <v>4</v>
      </c>
      <c r="B8">
        <f>[1]!ACF('K = 3'!$B$5:$B$61,A8)</f>
        <v>0.67321292800069166</v>
      </c>
      <c r="C8">
        <f t="shared" si="1"/>
        <v>-0.56295615191575432</v>
      </c>
      <c r="D8">
        <f>_xlfn.NORM.S.INV(1-$D$1/2)*SQRT((1+2*SUMSQ(B$5:B7))/COUNT('K = 3'!$B$5:$B$61))</f>
        <v>0.56295615191575432</v>
      </c>
    </row>
    <row r="9" spans="1:4" x14ac:dyDescent="0.25">
      <c r="A9">
        <f t="shared" si="0"/>
        <v>5</v>
      </c>
      <c r="B9">
        <f>[1]!ACF('K = 3'!$B$5:$B$61,A9)</f>
        <v>0.64024595377532589</v>
      </c>
      <c r="C9">
        <f t="shared" si="1"/>
        <v>-0.61482328565316957</v>
      </c>
      <c r="D9">
        <f>_xlfn.NORM.S.INV(1-$D$1/2)*SQRT((1+2*SUMSQ(B$5:B8))/COUNT('K = 3'!$B$5:$B$61))</f>
        <v>0.61482328565316957</v>
      </c>
    </row>
    <row r="10" spans="1:4" x14ac:dyDescent="0.25">
      <c r="A10">
        <f t="shared" si="0"/>
        <v>6</v>
      </c>
      <c r="B10">
        <f>[1]!ACF('K = 3'!$B$5:$B$61,A10)</f>
        <v>0.57781863428034186</v>
      </c>
      <c r="C10">
        <f t="shared" si="1"/>
        <v>-0.6582243473235474</v>
      </c>
      <c r="D10">
        <f>_xlfn.NORM.S.INV(1-$D$1/2)*SQRT((1+2*SUMSQ(B$5:B9))/COUNT('K = 3'!$B$5:$B$61))</f>
        <v>0.6582243473235474</v>
      </c>
    </row>
    <row r="11" spans="1:4" x14ac:dyDescent="0.25">
      <c r="A11">
        <f t="shared" si="0"/>
        <v>7</v>
      </c>
      <c r="B11">
        <f>[1]!ACF('K = 3'!$B$5:$B$61,A11)</f>
        <v>0.49548288497313908</v>
      </c>
      <c r="C11">
        <f t="shared" si="1"/>
        <v>-0.69156457410928285</v>
      </c>
      <c r="D11">
        <f>_xlfn.NORM.S.INV(1-$D$1/2)*SQRT((1+2*SUMSQ(B$5:B10))/COUNT('K = 3'!$B$5:$B$61))</f>
        <v>0.69156457410928285</v>
      </c>
    </row>
    <row r="12" spans="1:4" x14ac:dyDescent="0.25">
      <c r="A12">
        <f t="shared" si="0"/>
        <v>8</v>
      </c>
      <c r="B12">
        <f>[1]!ACF('K = 3'!$B$5:$B$61,A12)</f>
        <v>0.42284104853061566</v>
      </c>
      <c r="C12">
        <f t="shared" si="1"/>
        <v>-0.71508913052211942</v>
      </c>
      <c r="D12">
        <f>_xlfn.NORM.S.INV(1-$D$1/2)*SQRT((1+2*SUMSQ(B$5:B11))/COUNT('K = 3'!$B$5:$B$61))</f>
        <v>0.71508913052211942</v>
      </c>
    </row>
    <row r="13" spans="1:4" x14ac:dyDescent="0.25">
      <c r="A13">
        <f t="shared" si="0"/>
        <v>9</v>
      </c>
      <c r="B13">
        <f>[1]!ACF('K = 3'!$B$5:$B$61,A13)</f>
        <v>0.36463978611061315</v>
      </c>
      <c r="C13">
        <f t="shared" si="1"/>
        <v>-0.73174574126395897</v>
      </c>
      <c r="D13">
        <f>_xlfn.NORM.S.INV(1-$D$1/2)*SQRT((1+2*SUMSQ(B$5:B12))/COUNT('K = 3'!$B$5:$B$61))</f>
        <v>0.73174574126395897</v>
      </c>
    </row>
    <row r="14" spans="1:4" x14ac:dyDescent="0.25">
      <c r="A14">
        <f t="shared" si="0"/>
        <v>10</v>
      </c>
      <c r="B14">
        <f>[1]!ACF('K = 3'!$B$5:$B$61,A14)</f>
        <v>0.34242182895118262</v>
      </c>
      <c r="C14">
        <f t="shared" si="1"/>
        <v>-0.74389081130495782</v>
      </c>
      <c r="D14">
        <f>_xlfn.NORM.S.INV(1-$D$1/2)*SQRT((1+2*SUMSQ(B$5:B13))/COUNT('K = 3'!$B$5:$B$61))</f>
        <v>0.74389081130495782</v>
      </c>
    </row>
    <row r="15" spans="1:4" x14ac:dyDescent="0.25">
      <c r="A15">
        <f t="shared" si="0"/>
        <v>11</v>
      </c>
      <c r="B15">
        <f>[1]!ACF('K = 3'!$B$5:$B$61,A15)</f>
        <v>0.34149004036377151</v>
      </c>
      <c r="C15">
        <f t="shared" si="1"/>
        <v>-0.7544387322064674</v>
      </c>
      <c r="D15">
        <f>_xlfn.NORM.S.INV(1-$D$1/2)*SQRT((1+2*SUMSQ(B$5:B14))/COUNT('K = 3'!$B$5:$B$61))</f>
        <v>0.7544387322064674</v>
      </c>
    </row>
    <row r="16" spans="1:4" x14ac:dyDescent="0.25">
      <c r="A16" s="5">
        <f t="shared" si="0"/>
        <v>12</v>
      </c>
      <c r="B16" s="5">
        <f>[1]!ACF('K = 3'!$B$5:$B$61,A16)</f>
        <v>0.2902176235094594</v>
      </c>
      <c r="C16" s="5">
        <f t="shared" si="1"/>
        <v>-0.76478504625261923</v>
      </c>
      <c r="D16" s="5">
        <f>_xlfn.NORM.S.INV(1-$D$1/2)*SQRT((1+2*SUMSQ(B$5:B15))/COUNT('K = 3'!$B$5:$B$61))</f>
        <v>0.76478504625261923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71E5E-0299-408B-957A-5638F83400CE}">
  <dimension ref="A1:N73"/>
  <sheetViews>
    <sheetView tabSelected="1" workbookViewId="0">
      <selection activeCell="T23" sqref="T23"/>
    </sheetView>
  </sheetViews>
  <sheetFormatPr defaultRowHeight="14.3" x14ac:dyDescent="0.25"/>
  <cols>
    <col min="1" max="1" width="8.625" customWidth="1"/>
    <col min="2" max="2" width="15" bestFit="1" customWidth="1"/>
    <col min="5" max="5" width="8.5" customWidth="1"/>
    <col min="8" max="8" width="9.5" bestFit="1" customWidth="1"/>
    <col min="9" max="9" width="15.125" bestFit="1" customWidth="1"/>
    <col min="10" max="10" width="11.875" bestFit="1" customWidth="1"/>
    <col min="14" max="14" width="9.5" bestFit="1" customWidth="1"/>
  </cols>
  <sheetData>
    <row r="1" spans="1:14" x14ac:dyDescent="0.25">
      <c r="A1" t="s">
        <v>0</v>
      </c>
    </row>
    <row r="2" spans="1:14" x14ac:dyDescent="0.25">
      <c r="A2" t="s">
        <v>1</v>
      </c>
      <c r="G2" s="6" t="s">
        <v>18</v>
      </c>
      <c r="H2" s="2">
        <f>AVERAGE(H10:H61)</f>
        <v>93.952350427350424</v>
      </c>
      <c r="J2" s="6" t="s">
        <v>67</v>
      </c>
      <c r="K2">
        <f>_xlfn.STDEV.S(J10:J61)</f>
        <v>4352.624391209627</v>
      </c>
      <c r="M2" s="6" t="s">
        <v>48</v>
      </c>
      <c r="N2">
        <f>AVERAGE(M10:M61)</f>
        <v>3389.6438691650237</v>
      </c>
    </row>
    <row r="3" spans="1:14" x14ac:dyDescent="0.25">
      <c r="A3" t="s">
        <v>2</v>
      </c>
      <c r="B3" t="s">
        <v>3</v>
      </c>
    </row>
    <row r="4" spans="1:14" x14ac:dyDescent="0.25">
      <c r="A4" t="s">
        <v>4</v>
      </c>
      <c r="B4" s="6" t="s">
        <v>5</v>
      </c>
      <c r="C4" s="6" t="s">
        <v>12</v>
      </c>
      <c r="D4" s="6" t="s">
        <v>13</v>
      </c>
      <c r="E4" s="6" t="s">
        <v>15</v>
      </c>
      <c r="F4" s="6" t="s">
        <v>14</v>
      </c>
      <c r="G4" s="6" t="s">
        <v>16</v>
      </c>
      <c r="H4" s="6" t="s">
        <v>17</v>
      </c>
      <c r="I4" s="6" t="s">
        <v>19</v>
      </c>
      <c r="J4" s="6" t="s">
        <v>20</v>
      </c>
      <c r="K4" s="6" t="s">
        <v>68</v>
      </c>
      <c r="L4" s="6" t="s">
        <v>69</v>
      </c>
    </row>
    <row r="5" spans="1:14" x14ac:dyDescent="0.25">
      <c r="A5" s="1">
        <v>44378</v>
      </c>
      <c r="B5" s="2">
        <v>43439.7</v>
      </c>
    </row>
    <row r="6" spans="1:14" x14ac:dyDescent="0.25">
      <c r="A6" s="1">
        <v>44409</v>
      </c>
      <c r="B6" s="2">
        <v>42795.8</v>
      </c>
    </row>
    <row r="7" spans="1:14" x14ac:dyDescent="0.25">
      <c r="A7" s="1">
        <v>44440</v>
      </c>
      <c r="B7" s="2">
        <v>43575.4</v>
      </c>
      <c r="C7" s="2">
        <f>AVERAGE(B5:B7)</f>
        <v>43270.299999999996</v>
      </c>
    </row>
    <row r="8" spans="1:14" x14ac:dyDescent="0.25">
      <c r="A8" s="1">
        <v>44470</v>
      </c>
      <c r="B8" s="2">
        <v>37323.9</v>
      </c>
      <c r="C8" s="2">
        <f t="shared" ref="C8:D61" si="0">AVERAGE(B6:B8)</f>
        <v>41231.700000000004</v>
      </c>
    </row>
    <row r="9" spans="1:14" x14ac:dyDescent="0.25">
      <c r="A9" s="1">
        <v>44501</v>
      </c>
      <c r="B9" s="2">
        <v>37760.800000000003</v>
      </c>
      <c r="C9" s="2">
        <f t="shared" si="0"/>
        <v>39553.366666666669</v>
      </c>
      <c r="D9" s="2">
        <f>AVERAGE(C7:C9)</f>
        <v>41351.788888888892</v>
      </c>
      <c r="E9">
        <f>2*C9-D9</f>
        <v>37754.944444444445</v>
      </c>
      <c r="F9" s="2">
        <f>C9-D9</f>
        <v>-1798.4222222222234</v>
      </c>
    </row>
    <row r="10" spans="1:14" x14ac:dyDescent="0.25">
      <c r="A10" s="1">
        <v>44531</v>
      </c>
      <c r="B10" s="2">
        <v>40536.5</v>
      </c>
      <c r="C10" s="2">
        <f t="shared" si="0"/>
        <v>38540.400000000001</v>
      </c>
      <c r="D10" s="2">
        <f t="shared" si="0"/>
        <v>39775.155555555561</v>
      </c>
      <c r="E10">
        <f t="shared" ref="E10:E60" si="1">2*C10-D10</f>
        <v>37305.644444444442</v>
      </c>
      <c r="F10" s="2">
        <f t="shared" ref="F10:F61" si="2">C10-D10</f>
        <v>-1234.7555555555591</v>
      </c>
      <c r="G10" s="2">
        <f>E9+F9</f>
        <v>35956.522222222222</v>
      </c>
      <c r="H10" s="2">
        <f>B10-G10</f>
        <v>4579.9777777777781</v>
      </c>
      <c r="I10" s="18">
        <f>G10+$H$2</f>
        <v>36050.474572649575</v>
      </c>
      <c r="J10" s="2">
        <f>B10-I10</f>
        <v>4486.0254273504252</v>
      </c>
      <c r="K10" s="19">
        <f>I10-1.96*$K$2</f>
        <v>27519.330765878705</v>
      </c>
      <c r="L10" s="19">
        <f>I10+1.96*$K$2</f>
        <v>44581.618379420441</v>
      </c>
      <c r="M10">
        <f>ABS(J10)</f>
        <v>4486.0254273504252</v>
      </c>
      <c r="N10" s="2"/>
    </row>
    <row r="11" spans="1:14" x14ac:dyDescent="0.25">
      <c r="A11" s="1">
        <v>44562</v>
      </c>
      <c r="B11" s="2">
        <v>38497.1</v>
      </c>
      <c r="C11" s="2">
        <f t="shared" si="0"/>
        <v>38931.466666666667</v>
      </c>
      <c r="D11" s="2">
        <f t="shared" si="0"/>
        <v>39008.411111111112</v>
      </c>
      <c r="E11">
        <f t="shared" si="1"/>
        <v>38854.522222222222</v>
      </c>
      <c r="F11" s="2">
        <f t="shared" si="2"/>
        <v>-76.944444444445253</v>
      </c>
      <c r="G11" s="2">
        <f t="shared" ref="G11:G60" si="3">E10+F10</f>
        <v>36070.888888888883</v>
      </c>
      <c r="H11" s="2">
        <f t="shared" ref="H11:H61" si="4">B11-G11</f>
        <v>2426.2111111111153</v>
      </c>
      <c r="I11" s="18">
        <f t="shared" ref="I11:I73" si="5">G11+$H$2</f>
        <v>36164.841239316236</v>
      </c>
      <c r="J11" s="2">
        <f t="shared" ref="J11:J61" si="6">B11-I11</f>
        <v>2332.2587606837624</v>
      </c>
      <c r="K11" s="19">
        <f t="shared" ref="K11:K61" si="7">I11-1.96*$K$2</f>
        <v>27633.697432545367</v>
      </c>
      <c r="L11" s="19">
        <f t="shared" ref="L11:L61" si="8">I11+1.96*$K$2</f>
        <v>44695.985046087109</v>
      </c>
      <c r="M11">
        <f t="shared" ref="M11:M61" si="9">ABS(J11)</f>
        <v>2332.2587606837624</v>
      </c>
    </row>
    <row r="12" spans="1:14" x14ac:dyDescent="0.25">
      <c r="A12" s="1">
        <v>44593</v>
      </c>
      <c r="B12" s="2">
        <v>34233.9</v>
      </c>
      <c r="C12" s="2">
        <f t="shared" si="0"/>
        <v>37755.833333333336</v>
      </c>
      <c r="D12" s="2">
        <f t="shared" si="0"/>
        <v>38409.233333333337</v>
      </c>
      <c r="E12">
        <f t="shared" si="1"/>
        <v>37102.433333333334</v>
      </c>
      <c r="F12" s="2">
        <f t="shared" si="2"/>
        <v>-653.40000000000146</v>
      </c>
      <c r="G12" s="2">
        <f t="shared" si="3"/>
        <v>38777.577777777777</v>
      </c>
      <c r="H12" s="2">
        <f t="shared" si="4"/>
        <v>-4543.6777777777752</v>
      </c>
      <c r="I12" s="18">
        <f t="shared" si="5"/>
        <v>38871.53012820513</v>
      </c>
      <c r="J12" s="2">
        <f t="shared" si="6"/>
        <v>-4637.6301282051281</v>
      </c>
      <c r="K12" s="19">
        <f t="shared" si="7"/>
        <v>30340.38632143426</v>
      </c>
      <c r="L12" s="19">
        <f t="shared" si="8"/>
        <v>47402.673934976003</v>
      </c>
      <c r="M12">
        <f t="shared" si="9"/>
        <v>4637.6301282051281</v>
      </c>
    </row>
    <row r="13" spans="1:14" x14ac:dyDescent="0.25">
      <c r="A13" s="1">
        <v>44621</v>
      </c>
      <c r="B13" s="2">
        <v>35915</v>
      </c>
      <c r="C13" s="2">
        <f t="shared" si="0"/>
        <v>36215.333333333336</v>
      </c>
      <c r="D13" s="2">
        <f t="shared" si="0"/>
        <v>37634.211111111108</v>
      </c>
      <c r="E13">
        <f t="shared" si="1"/>
        <v>34796.455555555563</v>
      </c>
      <c r="F13" s="2">
        <f t="shared" si="2"/>
        <v>-1418.8777777777723</v>
      </c>
      <c r="G13" s="2">
        <f t="shared" si="3"/>
        <v>36449.033333333333</v>
      </c>
      <c r="H13" s="2">
        <f t="shared" si="4"/>
        <v>-534.03333333333285</v>
      </c>
      <c r="I13" s="18">
        <f t="shared" si="5"/>
        <v>36542.985683760686</v>
      </c>
      <c r="J13" s="2">
        <f t="shared" si="6"/>
        <v>-627.98568376068579</v>
      </c>
      <c r="K13" s="19">
        <f t="shared" si="7"/>
        <v>28011.841876989816</v>
      </c>
      <c r="L13" s="19">
        <f t="shared" si="8"/>
        <v>45074.129490531559</v>
      </c>
      <c r="M13">
        <f t="shared" si="9"/>
        <v>627.98568376068579</v>
      </c>
    </row>
    <row r="14" spans="1:14" x14ac:dyDescent="0.25">
      <c r="A14" s="1">
        <v>44652</v>
      </c>
      <c r="B14" s="2">
        <v>33419.599999999999</v>
      </c>
      <c r="C14" s="2">
        <f t="shared" si="0"/>
        <v>34522.833333333336</v>
      </c>
      <c r="D14" s="2">
        <f t="shared" si="0"/>
        <v>36164.666666666664</v>
      </c>
      <c r="E14">
        <f t="shared" si="1"/>
        <v>32881.000000000007</v>
      </c>
      <c r="F14" s="2">
        <f t="shared" si="2"/>
        <v>-1641.8333333333285</v>
      </c>
      <c r="G14" s="2">
        <f t="shared" si="3"/>
        <v>33377.577777777791</v>
      </c>
      <c r="H14" s="2">
        <f t="shared" si="4"/>
        <v>42.022222222207347</v>
      </c>
      <c r="I14" s="18">
        <f t="shared" si="5"/>
        <v>33471.530128205144</v>
      </c>
      <c r="J14" s="2">
        <f t="shared" si="6"/>
        <v>-51.930128205145593</v>
      </c>
      <c r="K14" s="19">
        <f t="shared" si="7"/>
        <v>24940.386321434275</v>
      </c>
      <c r="L14" s="19">
        <f t="shared" si="8"/>
        <v>42002.673934976017</v>
      </c>
      <c r="M14">
        <f t="shared" si="9"/>
        <v>51.930128205145593</v>
      </c>
    </row>
    <row r="15" spans="1:14" x14ac:dyDescent="0.25">
      <c r="A15" s="1">
        <v>44682</v>
      </c>
      <c r="B15" s="2">
        <v>32549.9</v>
      </c>
      <c r="C15" s="2">
        <f t="shared" si="0"/>
        <v>33961.5</v>
      </c>
      <c r="D15" s="2">
        <f t="shared" si="0"/>
        <v>34899.888888888891</v>
      </c>
      <c r="E15">
        <f t="shared" si="1"/>
        <v>33023.111111111109</v>
      </c>
      <c r="F15" s="2">
        <f t="shared" si="2"/>
        <v>-938.38888888889051</v>
      </c>
      <c r="G15" s="2">
        <f t="shared" si="3"/>
        <v>31239.166666666679</v>
      </c>
      <c r="H15" s="2">
        <f t="shared" si="4"/>
        <v>1310.7333333333227</v>
      </c>
      <c r="I15" s="18">
        <f t="shared" si="5"/>
        <v>31333.119017094028</v>
      </c>
      <c r="J15" s="2">
        <f t="shared" si="6"/>
        <v>1216.7809829059734</v>
      </c>
      <c r="K15" s="19">
        <f t="shared" si="7"/>
        <v>22801.975210323159</v>
      </c>
      <c r="L15" s="19">
        <f t="shared" si="8"/>
        <v>39864.262823864898</v>
      </c>
      <c r="M15">
        <f t="shared" si="9"/>
        <v>1216.7809829059734</v>
      </c>
    </row>
    <row r="16" spans="1:14" x14ac:dyDescent="0.25">
      <c r="A16" s="1">
        <v>44713</v>
      </c>
      <c r="B16" s="2">
        <v>35112.6</v>
      </c>
      <c r="C16" s="2">
        <f t="shared" si="0"/>
        <v>33694.033333333333</v>
      </c>
      <c r="D16" s="2">
        <f t="shared" si="0"/>
        <v>34059.455555555556</v>
      </c>
      <c r="E16">
        <f t="shared" si="1"/>
        <v>33328.611111111109</v>
      </c>
      <c r="F16" s="2">
        <f t="shared" si="2"/>
        <v>-365.42222222222335</v>
      </c>
      <c r="G16" s="2">
        <f t="shared" si="3"/>
        <v>32084.722222222219</v>
      </c>
      <c r="H16" s="2">
        <f t="shared" si="4"/>
        <v>3027.8777777777796</v>
      </c>
      <c r="I16" s="18">
        <f t="shared" si="5"/>
        <v>32178.674572649568</v>
      </c>
      <c r="J16" s="2">
        <f t="shared" si="6"/>
        <v>2933.9254273504303</v>
      </c>
      <c r="K16" s="19">
        <f t="shared" si="7"/>
        <v>23647.530765878699</v>
      </c>
      <c r="L16" s="19">
        <f t="shared" si="8"/>
        <v>40709.818379420438</v>
      </c>
      <c r="M16">
        <f t="shared" si="9"/>
        <v>2933.9254273504303</v>
      </c>
    </row>
    <row r="17" spans="1:13" x14ac:dyDescent="0.25">
      <c r="A17" s="1">
        <v>44743</v>
      </c>
      <c r="B17" s="2">
        <v>34621.800000000003</v>
      </c>
      <c r="C17" s="2">
        <f t="shared" si="0"/>
        <v>34094.76666666667</v>
      </c>
      <c r="D17" s="2">
        <f t="shared" si="0"/>
        <v>33916.766666666663</v>
      </c>
      <c r="E17">
        <f t="shared" si="1"/>
        <v>34272.766666666677</v>
      </c>
      <c r="F17" s="2">
        <f t="shared" si="2"/>
        <v>178.00000000000728</v>
      </c>
      <c r="G17" s="2">
        <f t="shared" si="3"/>
        <v>32963.188888888886</v>
      </c>
      <c r="H17" s="2">
        <f t="shared" si="4"/>
        <v>1658.6111111111168</v>
      </c>
      <c r="I17" s="18">
        <f t="shared" si="5"/>
        <v>33057.141239316239</v>
      </c>
      <c r="J17" s="2">
        <f t="shared" si="6"/>
        <v>1564.6587606837638</v>
      </c>
      <c r="K17" s="19">
        <f t="shared" si="7"/>
        <v>24525.99743254537</v>
      </c>
      <c r="L17" s="19">
        <f t="shared" si="8"/>
        <v>41588.285046087112</v>
      </c>
      <c r="M17">
        <f t="shared" si="9"/>
        <v>1564.6587606837638</v>
      </c>
    </row>
    <row r="18" spans="1:13" x14ac:dyDescent="0.25">
      <c r="A18" s="1">
        <v>44774</v>
      </c>
      <c r="B18" s="2">
        <v>34770.1</v>
      </c>
      <c r="C18" s="2">
        <f t="shared" si="0"/>
        <v>34834.833333333336</v>
      </c>
      <c r="D18" s="2">
        <f t="shared" si="0"/>
        <v>34207.87777777778</v>
      </c>
      <c r="E18">
        <f t="shared" si="1"/>
        <v>35461.788888888892</v>
      </c>
      <c r="F18" s="2">
        <f t="shared" si="2"/>
        <v>626.9555555555562</v>
      </c>
      <c r="G18" s="2">
        <f t="shared" si="3"/>
        <v>34450.766666666685</v>
      </c>
      <c r="H18" s="2">
        <f t="shared" si="4"/>
        <v>319.33333333331393</v>
      </c>
      <c r="I18" s="18">
        <f t="shared" si="5"/>
        <v>34544.719017094038</v>
      </c>
      <c r="J18" s="2">
        <f t="shared" si="6"/>
        <v>225.38098290596099</v>
      </c>
      <c r="K18" s="19">
        <f t="shared" si="7"/>
        <v>26013.575210323168</v>
      </c>
      <c r="L18" s="19">
        <f t="shared" si="8"/>
        <v>43075.862823864911</v>
      </c>
      <c r="M18">
        <f t="shared" si="9"/>
        <v>225.38098290596099</v>
      </c>
    </row>
    <row r="19" spans="1:13" x14ac:dyDescent="0.25">
      <c r="A19" s="1">
        <v>44805</v>
      </c>
      <c r="B19" s="2">
        <v>33953.300000000003</v>
      </c>
      <c r="C19" s="2">
        <f t="shared" si="0"/>
        <v>34448.400000000001</v>
      </c>
      <c r="D19" s="2">
        <f t="shared" si="0"/>
        <v>34459.333333333336</v>
      </c>
      <c r="E19">
        <f t="shared" si="1"/>
        <v>34437.466666666667</v>
      </c>
      <c r="F19" s="2">
        <f t="shared" si="2"/>
        <v>-10.933333333334303</v>
      </c>
      <c r="G19" s="2">
        <f t="shared" si="3"/>
        <v>36088.744444444448</v>
      </c>
      <c r="H19" s="2">
        <f t="shared" si="4"/>
        <v>-2135.4444444444453</v>
      </c>
      <c r="I19" s="18">
        <f t="shared" si="5"/>
        <v>36182.696794871801</v>
      </c>
      <c r="J19" s="2">
        <f t="shared" si="6"/>
        <v>-2229.3967948717982</v>
      </c>
      <c r="K19" s="19">
        <f t="shared" si="7"/>
        <v>27651.552988100932</v>
      </c>
      <c r="L19" s="19">
        <f t="shared" si="8"/>
        <v>44713.840601642674</v>
      </c>
      <c r="M19">
        <f t="shared" si="9"/>
        <v>2229.3967948717982</v>
      </c>
    </row>
    <row r="20" spans="1:13" x14ac:dyDescent="0.25">
      <c r="A20" s="1">
        <v>44835</v>
      </c>
      <c r="B20" s="2">
        <v>26416.799999999999</v>
      </c>
      <c r="C20" s="2">
        <f t="shared" si="0"/>
        <v>31713.399999999998</v>
      </c>
      <c r="D20" s="2">
        <f t="shared" si="0"/>
        <v>33665.544444444444</v>
      </c>
      <c r="E20">
        <f t="shared" si="1"/>
        <v>29761.255555555552</v>
      </c>
      <c r="F20" s="2">
        <f t="shared" si="2"/>
        <v>-1952.144444444446</v>
      </c>
      <c r="G20" s="2">
        <f t="shared" si="3"/>
        <v>34426.533333333333</v>
      </c>
      <c r="H20" s="2">
        <f t="shared" si="4"/>
        <v>-8009.7333333333336</v>
      </c>
      <c r="I20" s="18">
        <f t="shared" si="5"/>
        <v>34520.485683760686</v>
      </c>
      <c r="J20" s="2">
        <f t="shared" si="6"/>
        <v>-8103.6856837606865</v>
      </c>
      <c r="K20" s="19">
        <f t="shared" si="7"/>
        <v>25989.341876989816</v>
      </c>
      <c r="L20" s="19">
        <f t="shared" si="8"/>
        <v>43051.629490531559</v>
      </c>
      <c r="M20">
        <f t="shared" si="9"/>
        <v>8103.6856837606865</v>
      </c>
    </row>
    <row r="21" spans="1:13" x14ac:dyDescent="0.25">
      <c r="A21" s="1">
        <v>44866</v>
      </c>
      <c r="B21" s="2">
        <v>28485.3</v>
      </c>
      <c r="C21" s="2">
        <f t="shared" si="0"/>
        <v>29618.466666666671</v>
      </c>
      <c r="D21" s="2">
        <f t="shared" si="0"/>
        <v>31926.755555555559</v>
      </c>
      <c r="E21">
        <f t="shared" si="1"/>
        <v>27310.177777777782</v>
      </c>
      <c r="F21" s="2">
        <f t="shared" si="2"/>
        <v>-2308.2888888888883</v>
      </c>
      <c r="G21" s="2">
        <f t="shared" si="3"/>
        <v>27809.111111111106</v>
      </c>
      <c r="H21" s="2">
        <f t="shared" si="4"/>
        <v>676.18888888889342</v>
      </c>
      <c r="I21" s="18">
        <f t="shared" si="5"/>
        <v>27903.063461538455</v>
      </c>
      <c r="J21" s="2">
        <f t="shared" si="6"/>
        <v>582.23653846154411</v>
      </c>
      <c r="K21" s="19">
        <f t="shared" si="7"/>
        <v>19371.919654767586</v>
      </c>
      <c r="L21" s="19">
        <f t="shared" si="8"/>
        <v>36434.207268309328</v>
      </c>
      <c r="M21">
        <f t="shared" si="9"/>
        <v>582.23653846154411</v>
      </c>
    </row>
    <row r="22" spans="1:13" x14ac:dyDescent="0.25">
      <c r="A22" s="1">
        <v>44896</v>
      </c>
      <c r="B22" s="2">
        <v>26334.9</v>
      </c>
      <c r="C22" s="2">
        <f t="shared" si="0"/>
        <v>27079</v>
      </c>
      <c r="D22" s="2">
        <f t="shared" si="0"/>
        <v>29470.288888888888</v>
      </c>
      <c r="E22">
        <f t="shared" si="1"/>
        <v>24687.711111111112</v>
      </c>
      <c r="F22" s="2">
        <f t="shared" si="2"/>
        <v>-2391.2888888888883</v>
      </c>
      <c r="G22" s="2">
        <f t="shared" si="3"/>
        <v>25001.888888888894</v>
      </c>
      <c r="H22" s="2">
        <f t="shared" si="4"/>
        <v>1333.0111111111073</v>
      </c>
      <c r="I22" s="18">
        <f t="shared" si="5"/>
        <v>25095.841239316243</v>
      </c>
      <c r="J22" s="2">
        <f t="shared" si="6"/>
        <v>1239.058760683758</v>
      </c>
      <c r="K22" s="19">
        <f t="shared" si="7"/>
        <v>16564.697432545374</v>
      </c>
      <c r="L22" s="19">
        <f t="shared" si="8"/>
        <v>33626.985046087109</v>
      </c>
      <c r="M22">
        <f t="shared" si="9"/>
        <v>1239.058760683758</v>
      </c>
    </row>
    <row r="23" spans="1:13" x14ac:dyDescent="0.25">
      <c r="A23" s="1">
        <v>44927</v>
      </c>
      <c r="B23" s="2">
        <v>27844.7</v>
      </c>
      <c r="C23" s="2">
        <f t="shared" si="0"/>
        <v>27554.966666666664</v>
      </c>
      <c r="D23" s="2">
        <f t="shared" si="0"/>
        <v>28084.144444444446</v>
      </c>
      <c r="E23">
        <f t="shared" si="1"/>
        <v>27025.788888888881</v>
      </c>
      <c r="F23" s="2">
        <f t="shared" si="2"/>
        <v>-529.17777777778247</v>
      </c>
      <c r="G23" s="2">
        <f t="shared" si="3"/>
        <v>22296.422222222223</v>
      </c>
      <c r="H23" s="2">
        <f t="shared" si="4"/>
        <v>5548.2777777777774</v>
      </c>
      <c r="I23" s="18">
        <f t="shared" si="5"/>
        <v>22390.374572649573</v>
      </c>
      <c r="J23" s="2">
        <f t="shared" si="6"/>
        <v>5454.3254273504281</v>
      </c>
      <c r="K23" s="19">
        <f t="shared" si="7"/>
        <v>13859.230765878703</v>
      </c>
      <c r="L23" s="19">
        <f t="shared" si="8"/>
        <v>30921.518379420442</v>
      </c>
      <c r="M23">
        <f t="shared" si="9"/>
        <v>5454.3254273504281</v>
      </c>
    </row>
    <row r="24" spans="1:13" x14ac:dyDescent="0.25">
      <c r="A24" s="1">
        <v>44958</v>
      </c>
      <c r="B24" s="2">
        <v>27601.1</v>
      </c>
      <c r="C24" s="2">
        <f t="shared" si="0"/>
        <v>27260.233333333337</v>
      </c>
      <c r="D24" s="2">
        <f t="shared" si="0"/>
        <v>27298.066666666666</v>
      </c>
      <c r="E24">
        <f t="shared" si="1"/>
        <v>27222.400000000009</v>
      </c>
      <c r="F24" s="2">
        <f t="shared" si="2"/>
        <v>-37.833333333328483</v>
      </c>
      <c r="G24" s="2">
        <f t="shared" si="3"/>
        <v>26496.611111111099</v>
      </c>
      <c r="H24" s="2">
        <f t="shared" si="4"/>
        <v>1104.4888888889</v>
      </c>
      <c r="I24" s="18">
        <f t="shared" si="5"/>
        <v>26590.563461538448</v>
      </c>
      <c r="J24" s="2">
        <f t="shared" si="6"/>
        <v>1010.5365384615507</v>
      </c>
      <c r="K24" s="19">
        <f t="shared" si="7"/>
        <v>18059.419654767578</v>
      </c>
      <c r="L24" s="19">
        <f t="shared" si="8"/>
        <v>35121.707268309314</v>
      </c>
      <c r="M24">
        <f t="shared" si="9"/>
        <v>1010.5365384615507</v>
      </c>
    </row>
    <row r="25" spans="1:13" x14ac:dyDescent="0.25">
      <c r="A25" s="1">
        <v>44986</v>
      </c>
      <c r="B25" s="2">
        <v>28988.1</v>
      </c>
      <c r="C25" s="2">
        <f t="shared" si="0"/>
        <v>28144.633333333331</v>
      </c>
      <c r="D25" s="2">
        <f t="shared" si="0"/>
        <v>27653.277777777777</v>
      </c>
      <c r="E25">
        <f t="shared" si="1"/>
        <v>28635.988888888885</v>
      </c>
      <c r="F25" s="2">
        <f t="shared" si="2"/>
        <v>491.35555555555402</v>
      </c>
      <c r="G25" s="2">
        <f t="shared" si="3"/>
        <v>27184.56666666668</v>
      </c>
      <c r="H25" s="2">
        <f t="shared" si="4"/>
        <v>1803.5333333333183</v>
      </c>
      <c r="I25" s="18">
        <f t="shared" si="5"/>
        <v>27278.51901709403</v>
      </c>
      <c r="J25" s="2">
        <f t="shared" si="6"/>
        <v>1709.580982905969</v>
      </c>
      <c r="K25" s="19">
        <f t="shared" si="7"/>
        <v>18747.37521032316</v>
      </c>
      <c r="L25" s="19">
        <f t="shared" si="8"/>
        <v>35809.662823864899</v>
      </c>
      <c r="M25">
        <f t="shared" si="9"/>
        <v>1709.580982905969</v>
      </c>
    </row>
    <row r="26" spans="1:13" x14ac:dyDescent="0.25">
      <c r="A26" s="1">
        <v>45017</v>
      </c>
      <c r="B26" s="2">
        <v>26906.9</v>
      </c>
      <c r="C26" s="2">
        <f t="shared" si="0"/>
        <v>27832.033333333336</v>
      </c>
      <c r="D26" s="2">
        <f t="shared" si="0"/>
        <v>27745.633333333335</v>
      </c>
      <c r="E26">
        <f t="shared" si="1"/>
        <v>27918.433333333338</v>
      </c>
      <c r="F26" s="2">
        <f t="shared" si="2"/>
        <v>86.400000000001455</v>
      </c>
      <c r="G26" s="2">
        <f t="shared" si="3"/>
        <v>29127.344444444439</v>
      </c>
      <c r="H26" s="2">
        <f t="shared" si="4"/>
        <v>-2220.444444444438</v>
      </c>
      <c r="I26" s="18">
        <f t="shared" si="5"/>
        <v>29221.296794871789</v>
      </c>
      <c r="J26" s="2">
        <f t="shared" si="6"/>
        <v>-2314.3967948717873</v>
      </c>
      <c r="K26" s="19">
        <f t="shared" si="7"/>
        <v>20690.152988100919</v>
      </c>
      <c r="L26" s="19">
        <f t="shared" si="8"/>
        <v>37752.440601642658</v>
      </c>
      <c r="M26">
        <f t="shared" si="9"/>
        <v>2314.3967948717873</v>
      </c>
    </row>
    <row r="27" spans="1:13" x14ac:dyDescent="0.25">
      <c r="A27" s="1">
        <v>45047</v>
      </c>
      <c r="B27" s="2">
        <v>30363.1</v>
      </c>
      <c r="C27" s="2">
        <f t="shared" si="0"/>
        <v>28752.7</v>
      </c>
      <c r="D27" s="2">
        <f t="shared" si="0"/>
        <v>28243.122222222224</v>
      </c>
      <c r="E27">
        <f t="shared" si="1"/>
        <v>29262.277777777777</v>
      </c>
      <c r="F27" s="2">
        <f t="shared" si="2"/>
        <v>509.57777777777665</v>
      </c>
      <c r="G27" s="2">
        <f t="shared" si="3"/>
        <v>28004.833333333339</v>
      </c>
      <c r="H27" s="2">
        <f t="shared" si="4"/>
        <v>2358.2666666666591</v>
      </c>
      <c r="I27" s="18">
        <f t="shared" si="5"/>
        <v>28098.785683760689</v>
      </c>
      <c r="J27" s="2">
        <f t="shared" si="6"/>
        <v>2264.3143162393098</v>
      </c>
      <c r="K27" s="19">
        <f t="shared" si="7"/>
        <v>19567.641876989819</v>
      </c>
      <c r="L27" s="19">
        <f t="shared" si="8"/>
        <v>36629.929490531562</v>
      </c>
      <c r="M27">
        <f t="shared" si="9"/>
        <v>2264.3143162393098</v>
      </c>
    </row>
    <row r="28" spans="1:13" x14ac:dyDescent="0.25">
      <c r="A28" s="1">
        <v>45078</v>
      </c>
      <c r="B28" s="2">
        <v>32034.2</v>
      </c>
      <c r="C28" s="2">
        <f t="shared" si="0"/>
        <v>29768.066666666666</v>
      </c>
      <c r="D28" s="2">
        <f t="shared" si="0"/>
        <v>28784.266666666666</v>
      </c>
      <c r="E28">
        <f t="shared" si="1"/>
        <v>30751.866666666665</v>
      </c>
      <c r="F28" s="2">
        <f t="shared" si="2"/>
        <v>983.79999999999927</v>
      </c>
      <c r="G28" s="2">
        <f t="shared" si="3"/>
        <v>29771.855555555554</v>
      </c>
      <c r="H28" s="2">
        <f t="shared" si="4"/>
        <v>2262.3444444444467</v>
      </c>
      <c r="I28" s="18">
        <f t="shared" si="5"/>
        <v>29865.807905982903</v>
      </c>
      <c r="J28" s="2">
        <f t="shared" si="6"/>
        <v>2168.3920940170974</v>
      </c>
      <c r="K28" s="19">
        <f t="shared" si="7"/>
        <v>21334.664099212034</v>
      </c>
      <c r="L28" s="19">
        <f t="shared" si="8"/>
        <v>38396.951712753769</v>
      </c>
      <c r="M28">
        <f t="shared" si="9"/>
        <v>2168.3920940170974</v>
      </c>
    </row>
    <row r="29" spans="1:13" x14ac:dyDescent="0.25">
      <c r="A29" s="1">
        <v>45108</v>
      </c>
      <c r="B29" s="2">
        <v>28753.200000000001</v>
      </c>
      <c r="C29" s="2">
        <f t="shared" si="0"/>
        <v>30383.5</v>
      </c>
      <c r="D29" s="2">
        <f t="shared" si="0"/>
        <v>29634.755555555555</v>
      </c>
      <c r="E29">
        <f t="shared" si="1"/>
        <v>31132.244444444445</v>
      </c>
      <c r="F29" s="2">
        <f t="shared" si="2"/>
        <v>748.74444444444453</v>
      </c>
      <c r="G29" s="2">
        <f t="shared" si="3"/>
        <v>31735.666666666664</v>
      </c>
      <c r="H29" s="2">
        <f t="shared" si="4"/>
        <v>-2982.4666666666635</v>
      </c>
      <c r="I29" s="18">
        <f t="shared" si="5"/>
        <v>31829.619017094014</v>
      </c>
      <c r="J29" s="2">
        <f t="shared" si="6"/>
        <v>-3076.4190170940128</v>
      </c>
      <c r="K29" s="19">
        <f t="shared" si="7"/>
        <v>23298.475210323144</v>
      </c>
      <c r="L29" s="19">
        <f t="shared" si="8"/>
        <v>40360.762823864883</v>
      </c>
      <c r="M29">
        <f t="shared" si="9"/>
        <v>3076.4190170940128</v>
      </c>
    </row>
    <row r="30" spans="1:13" x14ac:dyDescent="0.25">
      <c r="A30" s="1">
        <v>45139</v>
      </c>
      <c r="B30" s="2">
        <v>25975</v>
      </c>
      <c r="C30" s="2">
        <f t="shared" si="0"/>
        <v>28920.799999999999</v>
      </c>
      <c r="D30" s="2">
        <f t="shared" si="0"/>
        <v>29690.788888888888</v>
      </c>
      <c r="E30">
        <f t="shared" si="1"/>
        <v>28150.81111111111</v>
      </c>
      <c r="F30" s="2">
        <f t="shared" si="2"/>
        <v>-769.98888888888905</v>
      </c>
      <c r="G30" s="2">
        <f t="shared" si="3"/>
        <v>31880.988888888889</v>
      </c>
      <c r="H30" s="2">
        <f t="shared" si="4"/>
        <v>-5905.9888888888891</v>
      </c>
      <c r="I30" s="18">
        <f t="shared" si="5"/>
        <v>31974.941239316238</v>
      </c>
      <c r="J30" s="2">
        <f t="shared" si="6"/>
        <v>-5999.9412393162384</v>
      </c>
      <c r="K30" s="19">
        <f t="shared" si="7"/>
        <v>23443.797432545369</v>
      </c>
      <c r="L30" s="19">
        <f t="shared" si="8"/>
        <v>40506.085046087108</v>
      </c>
      <c r="M30">
        <f t="shared" si="9"/>
        <v>5999.9412393162384</v>
      </c>
    </row>
    <row r="31" spans="1:13" x14ac:dyDescent="0.25">
      <c r="A31" s="1">
        <v>45170</v>
      </c>
      <c r="B31" s="2">
        <v>27143.200000000001</v>
      </c>
      <c r="C31" s="2">
        <f t="shared" si="0"/>
        <v>27290.466666666664</v>
      </c>
      <c r="D31" s="2">
        <f t="shared" si="0"/>
        <v>28864.92222222222</v>
      </c>
      <c r="E31">
        <f t="shared" si="1"/>
        <v>25716.011111111107</v>
      </c>
      <c r="F31" s="2">
        <f t="shared" si="2"/>
        <v>-1574.4555555555562</v>
      </c>
      <c r="G31" s="2">
        <f t="shared" si="3"/>
        <v>27380.822222222221</v>
      </c>
      <c r="H31" s="2">
        <f t="shared" si="4"/>
        <v>-237.62222222222044</v>
      </c>
      <c r="I31" s="18">
        <f t="shared" si="5"/>
        <v>27474.77457264957</v>
      </c>
      <c r="J31" s="2">
        <f t="shared" si="6"/>
        <v>-331.57457264956975</v>
      </c>
      <c r="K31" s="19">
        <f t="shared" si="7"/>
        <v>18943.630765878701</v>
      </c>
      <c r="L31" s="19">
        <f t="shared" si="8"/>
        <v>36005.918379420444</v>
      </c>
      <c r="M31">
        <f t="shared" si="9"/>
        <v>331.57457264956975</v>
      </c>
    </row>
    <row r="32" spans="1:13" x14ac:dyDescent="0.25">
      <c r="A32" s="1">
        <v>45200</v>
      </c>
      <c r="B32" s="2">
        <v>24166.1</v>
      </c>
      <c r="C32" s="2">
        <f t="shared" si="0"/>
        <v>25761.433333333331</v>
      </c>
      <c r="D32" s="2">
        <f t="shared" si="0"/>
        <v>27324.233333333334</v>
      </c>
      <c r="E32">
        <f t="shared" si="1"/>
        <v>24198.633333333328</v>
      </c>
      <c r="F32" s="2">
        <f t="shared" si="2"/>
        <v>-1562.8000000000029</v>
      </c>
      <c r="G32" s="2">
        <f t="shared" si="3"/>
        <v>24141.555555555551</v>
      </c>
      <c r="H32" s="2">
        <f t="shared" si="4"/>
        <v>24.544444444447436</v>
      </c>
      <c r="I32" s="18">
        <f t="shared" si="5"/>
        <v>24235.5079059829</v>
      </c>
      <c r="J32" s="2">
        <f t="shared" si="6"/>
        <v>-69.407905982901866</v>
      </c>
      <c r="K32" s="19">
        <f t="shared" si="7"/>
        <v>15704.364099212031</v>
      </c>
      <c r="L32" s="19">
        <f t="shared" si="8"/>
        <v>32766.65171275377</v>
      </c>
      <c r="M32">
        <f t="shared" si="9"/>
        <v>69.407905982901866</v>
      </c>
    </row>
    <row r="33" spans="1:13" x14ac:dyDescent="0.25">
      <c r="A33" s="1">
        <v>45231</v>
      </c>
      <c r="B33" s="2">
        <v>22756.5</v>
      </c>
      <c r="C33" s="2">
        <f t="shared" si="0"/>
        <v>24688.600000000002</v>
      </c>
      <c r="D33" s="2">
        <f t="shared" si="0"/>
        <v>25913.5</v>
      </c>
      <c r="E33">
        <f t="shared" si="1"/>
        <v>23463.700000000004</v>
      </c>
      <c r="F33" s="2">
        <f t="shared" si="2"/>
        <v>-1224.8999999999978</v>
      </c>
      <c r="G33" s="2">
        <f t="shared" si="3"/>
        <v>22635.833333333325</v>
      </c>
      <c r="H33" s="2">
        <f t="shared" si="4"/>
        <v>120.66666666667516</v>
      </c>
      <c r="I33" s="18">
        <f t="shared" si="5"/>
        <v>22729.785683760674</v>
      </c>
      <c r="J33" s="2">
        <f t="shared" si="6"/>
        <v>26.714316239325854</v>
      </c>
      <c r="K33" s="19">
        <f t="shared" si="7"/>
        <v>14198.641876989805</v>
      </c>
      <c r="L33" s="19">
        <f t="shared" si="8"/>
        <v>31260.929490531544</v>
      </c>
      <c r="M33">
        <f t="shared" si="9"/>
        <v>26.714316239325854</v>
      </c>
    </row>
    <row r="34" spans="1:13" x14ac:dyDescent="0.25">
      <c r="A34" s="1">
        <v>45261</v>
      </c>
      <c r="B34" s="2">
        <v>27706.400000000001</v>
      </c>
      <c r="C34" s="2">
        <f t="shared" si="0"/>
        <v>24876.333333333332</v>
      </c>
      <c r="D34" s="2">
        <f t="shared" si="0"/>
        <v>25108.788888888888</v>
      </c>
      <c r="E34">
        <f t="shared" si="1"/>
        <v>24643.877777777776</v>
      </c>
      <c r="F34" s="2">
        <f t="shared" si="2"/>
        <v>-232.4555555555562</v>
      </c>
      <c r="G34" s="2">
        <f t="shared" si="3"/>
        <v>22238.800000000007</v>
      </c>
      <c r="H34" s="2">
        <f t="shared" si="4"/>
        <v>5467.5999999999949</v>
      </c>
      <c r="I34" s="18">
        <f t="shared" si="5"/>
        <v>22332.752350427356</v>
      </c>
      <c r="J34" s="2">
        <f t="shared" si="6"/>
        <v>5373.6476495726456</v>
      </c>
      <c r="K34" s="19">
        <f t="shared" si="7"/>
        <v>13801.608543656486</v>
      </c>
      <c r="L34" s="19">
        <f t="shared" si="8"/>
        <v>30863.896157198225</v>
      </c>
      <c r="M34">
        <f t="shared" si="9"/>
        <v>5373.6476495726456</v>
      </c>
    </row>
    <row r="35" spans="1:13" x14ac:dyDescent="0.25">
      <c r="A35" s="1">
        <v>45292</v>
      </c>
      <c r="B35" s="2">
        <v>27323.5</v>
      </c>
      <c r="C35" s="2">
        <f t="shared" si="0"/>
        <v>25928.799999999999</v>
      </c>
      <c r="D35" s="2">
        <f t="shared" si="0"/>
        <v>25164.57777777778</v>
      </c>
      <c r="E35">
        <f t="shared" si="1"/>
        <v>26693.022222222218</v>
      </c>
      <c r="F35" s="2">
        <f t="shared" si="2"/>
        <v>764.22222222221899</v>
      </c>
      <c r="G35" s="2">
        <f t="shared" si="3"/>
        <v>24411.42222222222</v>
      </c>
      <c r="H35" s="2">
        <f t="shared" si="4"/>
        <v>2912.0777777777803</v>
      </c>
      <c r="I35" s="18">
        <f t="shared" si="5"/>
        <v>24505.374572649569</v>
      </c>
      <c r="J35" s="2">
        <f t="shared" si="6"/>
        <v>2818.125427350431</v>
      </c>
      <c r="K35" s="19">
        <f t="shared" si="7"/>
        <v>15974.230765878699</v>
      </c>
      <c r="L35" s="19">
        <f t="shared" si="8"/>
        <v>33036.518379420435</v>
      </c>
      <c r="M35">
        <f t="shared" si="9"/>
        <v>2818.125427350431</v>
      </c>
    </row>
    <row r="36" spans="1:13" x14ac:dyDescent="0.25">
      <c r="A36" s="1">
        <v>45323</v>
      </c>
      <c r="B36" s="2">
        <v>24273</v>
      </c>
      <c r="C36" s="2">
        <f t="shared" si="0"/>
        <v>26434.3</v>
      </c>
      <c r="D36" s="2">
        <f t="shared" si="0"/>
        <v>25746.477777777778</v>
      </c>
      <c r="E36">
        <f t="shared" si="1"/>
        <v>27122.12222222222</v>
      </c>
      <c r="F36" s="2">
        <f t="shared" si="2"/>
        <v>687.82222222222117</v>
      </c>
      <c r="G36" s="2">
        <f t="shared" si="3"/>
        <v>27457.244444444437</v>
      </c>
      <c r="H36" s="2">
        <f t="shared" si="4"/>
        <v>-3184.2444444444372</v>
      </c>
      <c r="I36" s="18">
        <f t="shared" si="5"/>
        <v>27551.196794871787</v>
      </c>
      <c r="J36" s="2">
        <f t="shared" si="6"/>
        <v>-3278.1967948717866</v>
      </c>
      <c r="K36" s="19">
        <f t="shared" si="7"/>
        <v>19020.052988100917</v>
      </c>
      <c r="L36" s="19">
        <f t="shared" si="8"/>
        <v>36082.34060164266</v>
      </c>
      <c r="M36">
        <f t="shared" si="9"/>
        <v>3278.1967948717866</v>
      </c>
    </row>
    <row r="37" spans="1:13" x14ac:dyDescent="0.25">
      <c r="A37" s="1">
        <v>45352</v>
      </c>
      <c r="B37" s="2">
        <v>21821.9</v>
      </c>
      <c r="C37" s="2">
        <f t="shared" si="0"/>
        <v>24472.799999999999</v>
      </c>
      <c r="D37" s="2">
        <f t="shared" si="0"/>
        <v>25611.966666666664</v>
      </c>
      <c r="E37">
        <f t="shared" si="1"/>
        <v>23333.633333333335</v>
      </c>
      <c r="F37" s="2">
        <f t="shared" si="2"/>
        <v>-1139.1666666666642</v>
      </c>
      <c r="G37" s="2">
        <f t="shared" si="3"/>
        <v>27809.944444444442</v>
      </c>
      <c r="H37" s="2">
        <f t="shared" si="4"/>
        <v>-5988.0444444444402</v>
      </c>
      <c r="I37" s="18">
        <f t="shared" si="5"/>
        <v>27903.896794871791</v>
      </c>
      <c r="J37" s="2">
        <f t="shared" si="6"/>
        <v>-6081.9967948717895</v>
      </c>
      <c r="K37" s="19">
        <f t="shared" si="7"/>
        <v>19372.752988100921</v>
      </c>
      <c r="L37" s="19">
        <f t="shared" si="8"/>
        <v>36435.040601642657</v>
      </c>
      <c r="M37">
        <f t="shared" si="9"/>
        <v>6081.9967948717895</v>
      </c>
    </row>
    <row r="38" spans="1:13" x14ac:dyDescent="0.25">
      <c r="A38" s="1">
        <v>45383</v>
      </c>
      <c r="B38" s="2">
        <v>24698.6</v>
      </c>
      <c r="C38" s="2">
        <f t="shared" si="0"/>
        <v>23597.833333333332</v>
      </c>
      <c r="D38" s="2">
        <f t="shared" si="0"/>
        <v>24834.977777777778</v>
      </c>
      <c r="E38">
        <f t="shared" si="1"/>
        <v>22360.688888888886</v>
      </c>
      <c r="F38" s="2">
        <f t="shared" si="2"/>
        <v>-1237.144444444446</v>
      </c>
      <c r="G38" s="2">
        <f t="shared" si="3"/>
        <v>22194.466666666671</v>
      </c>
      <c r="H38" s="2">
        <f t="shared" si="4"/>
        <v>2504.1333333333278</v>
      </c>
      <c r="I38" s="18">
        <f t="shared" si="5"/>
        <v>22288.41901709402</v>
      </c>
      <c r="J38" s="2">
        <f t="shared" si="6"/>
        <v>2410.1809829059785</v>
      </c>
      <c r="K38" s="19">
        <f t="shared" si="7"/>
        <v>13757.275210323151</v>
      </c>
      <c r="L38" s="19">
        <f t="shared" si="8"/>
        <v>30819.56282386489</v>
      </c>
      <c r="M38">
        <f t="shared" si="9"/>
        <v>2410.1809829059785</v>
      </c>
    </row>
    <row r="39" spans="1:13" x14ac:dyDescent="0.25">
      <c r="A39" s="1">
        <v>45413</v>
      </c>
      <c r="B39" s="2">
        <v>26071.4</v>
      </c>
      <c r="C39" s="2">
        <f t="shared" si="0"/>
        <v>24197.3</v>
      </c>
      <c r="D39" s="2">
        <f t="shared" si="0"/>
        <v>24089.31111111111</v>
      </c>
      <c r="E39">
        <f t="shared" si="1"/>
        <v>24305.288888888888</v>
      </c>
      <c r="F39" s="2">
        <f t="shared" si="2"/>
        <v>107.98888888888905</v>
      </c>
      <c r="G39" s="2">
        <f t="shared" si="3"/>
        <v>21123.54444444444</v>
      </c>
      <c r="H39" s="2">
        <f t="shared" si="4"/>
        <v>4947.8555555555613</v>
      </c>
      <c r="I39" s="18">
        <f t="shared" si="5"/>
        <v>21217.496794871789</v>
      </c>
      <c r="J39" s="2">
        <f t="shared" si="6"/>
        <v>4853.903205128212</v>
      </c>
      <c r="K39" s="19">
        <f t="shared" si="7"/>
        <v>12686.35298810092</v>
      </c>
      <c r="L39" s="19">
        <f t="shared" si="8"/>
        <v>29748.640601642659</v>
      </c>
      <c r="M39">
        <f t="shared" si="9"/>
        <v>4853.903205128212</v>
      </c>
    </row>
    <row r="40" spans="1:13" x14ac:dyDescent="0.25">
      <c r="A40" s="1">
        <v>45444</v>
      </c>
      <c r="B40" s="2">
        <v>27516.6</v>
      </c>
      <c r="C40" s="2">
        <f t="shared" si="0"/>
        <v>26095.533333333336</v>
      </c>
      <c r="D40" s="2">
        <f t="shared" si="0"/>
        <v>24630.222222222223</v>
      </c>
      <c r="E40">
        <f t="shared" si="1"/>
        <v>27560.84444444445</v>
      </c>
      <c r="F40" s="2">
        <f t="shared" si="2"/>
        <v>1465.3111111111139</v>
      </c>
      <c r="G40" s="2">
        <f t="shared" si="3"/>
        <v>24413.277777777777</v>
      </c>
      <c r="H40" s="2">
        <f t="shared" si="4"/>
        <v>3103.3222222222212</v>
      </c>
      <c r="I40" s="18">
        <f t="shared" si="5"/>
        <v>24507.230128205127</v>
      </c>
      <c r="J40" s="2">
        <f t="shared" si="6"/>
        <v>3009.3698717948719</v>
      </c>
      <c r="K40" s="19">
        <f t="shared" si="7"/>
        <v>15976.086321434257</v>
      </c>
      <c r="L40" s="19">
        <f t="shared" si="8"/>
        <v>33038.373934976</v>
      </c>
      <c r="M40">
        <f t="shared" si="9"/>
        <v>3009.3698717948719</v>
      </c>
    </row>
    <row r="41" spans="1:13" x14ac:dyDescent="0.25">
      <c r="A41" s="1">
        <v>45474</v>
      </c>
      <c r="B41" s="2">
        <v>27316.7</v>
      </c>
      <c r="C41" s="2">
        <f t="shared" si="0"/>
        <v>26968.233333333334</v>
      </c>
      <c r="D41" s="2">
        <f t="shared" si="0"/>
        <v>25753.68888888889</v>
      </c>
      <c r="E41">
        <f t="shared" si="1"/>
        <v>28182.777777777777</v>
      </c>
      <c r="F41" s="2">
        <f t="shared" si="2"/>
        <v>1214.5444444444438</v>
      </c>
      <c r="G41" s="2">
        <f t="shared" si="3"/>
        <v>29026.155555555564</v>
      </c>
      <c r="H41" s="2">
        <f t="shared" si="4"/>
        <v>-1709.4555555555635</v>
      </c>
      <c r="I41" s="18">
        <f t="shared" si="5"/>
        <v>29120.107905982914</v>
      </c>
      <c r="J41" s="2">
        <f t="shared" si="6"/>
        <v>-1803.4079059829128</v>
      </c>
      <c r="K41" s="19">
        <f t="shared" si="7"/>
        <v>20588.964099212044</v>
      </c>
      <c r="L41" s="19">
        <f t="shared" si="8"/>
        <v>37651.251712753787</v>
      </c>
      <c r="M41">
        <f t="shared" si="9"/>
        <v>1803.4079059829128</v>
      </c>
    </row>
    <row r="42" spans="1:13" x14ac:dyDescent="0.25">
      <c r="A42" s="1">
        <v>45505</v>
      </c>
      <c r="B42" s="2">
        <v>26052.9</v>
      </c>
      <c r="C42" s="2">
        <f t="shared" si="0"/>
        <v>26962.066666666669</v>
      </c>
      <c r="D42" s="2">
        <f t="shared" si="0"/>
        <v>26675.277777777781</v>
      </c>
      <c r="E42">
        <f t="shared" si="1"/>
        <v>27248.855555555558</v>
      </c>
      <c r="F42" s="2">
        <f t="shared" si="2"/>
        <v>286.78888888888832</v>
      </c>
      <c r="G42" s="2">
        <f t="shared" si="3"/>
        <v>29397.322222222221</v>
      </c>
      <c r="H42" s="2">
        <f t="shared" si="4"/>
        <v>-3344.4222222222197</v>
      </c>
      <c r="I42" s="18">
        <f t="shared" si="5"/>
        <v>29491.27457264957</v>
      </c>
      <c r="J42" s="2">
        <f t="shared" si="6"/>
        <v>-3438.374572649569</v>
      </c>
      <c r="K42" s="19">
        <f t="shared" si="7"/>
        <v>20960.130765878701</v>
      </c>
      <c r="L42" s="19">
        <f t="shared" si="8"/>
        <v>38022.418379420444</v>
      </c>
      <c r="M42">
        <f t="shared" si="9"/>
        <v>3438.374572649569</v>
      </c>
    </row>
    <row r="43" spans="1:13" x14ac:dyDescent="0.25">
      <c r="A43" s="1">
        <v>45536</v>
      </c>
      <c r="B43" s="2">
        <v>27472.6</v>
      </c>
      <c r="C43" s="2">
        <f t="shared" si="0"/>
        <v>26947.400000000005</v>
      </c>
      <c r="D43" s="2">
        <f t="shared" si="0"/>
        <v>26959.233333333337</v>
      </c>
      <c r="E43">
        <f t="shared" si="1"/>
        <v>26935.566666666673</v>
      </c>
      <c r="F43" s="2">
        <f t="shared" si="2"/>
        <v>-11.833333333332121</v>
      </c>
      <c r="G43" s="2">
        <f t="shared" si="3"/>
        <v>27535.644444444446</v>
      </c>
      <c r="H43" s="2">
        <f t="shared" si="4"/>
        <v>-63.044444444447436</v>
      </c>
      <c r="I43" s="18">
        <f t="shared" si="5"/>
        <v>27629.596794871795</v>
      </c>
      <c r="J43" s="2">
        <f t="shared" si="6"/>
        <v>-156.99679487179674</v>
      </c>
      <c r="K43" s="19">
        <f t="shared" si="7"/>
        <v>19098.452988100926</v>
      </c>
      <c r="L43" s="19">
        <f t="shared" si="8"/>
        <v>36160.740601642668</v>
      </c>
      <c r="M43">
        <f t="shared" si="9"/>
        <v>156.99679487179674</v>
      </c>
    </row>
    <row r="44" spans="1:13" x14ac:dyDescent="0.25">
      <c r="A44" s="1">
        <v>45566</v>
      </c>
      <c r="B44" s="2">
        <v>19272.7</v>
      </c>
      <c r="C44" s="2">
        <f t="shared" si="0"/>
        <v>24266.066666666666</v>
      </c>
      <c r="D44" s="2">
        <f t="shared" si="0"/>
        <v>26058.511111111115</v>
      </c>
      <c r="E44">
        <f t="shared" si="1"/>
        <v>22473.622222222217</v>
      </c>
      <c r="F44" s="2">
        <f t="shared" si="2"/>
        <v>-1792.4444444444489</v>
      </c>
      <c r="G44" s="2">
        <f t="shared" si="3"/>
        <v>26923.733333333341</v>
      </c>
      <c r="H44" s="2">
        <f t="shared" si="4"/>
        <v>-7651.0333333333401</v>
      </c>
      <c r="I44" s="18">
        <f t="shared" si="5"/>
        <v>27017.68568376069</v>
      </c>
      <c r="J44" s="2">
        <f t="shared" si="6"/>
        <v>-7744.9856837606894</v>
      </c>
      <c r="K44" s="19">
        <f t="shared" si="7"/>
        <v>18486.541876989821</v>
      </c>
      <c r="L44" s="19">
        <f t="shared" si="8"/>
        <v>35548.829490531556</v>
      </c>
      <c r="M44">
        <f t="shared" si="9"/>
        <v>7744.9856837606894</v>
      </c>
    </row>
    <row r="45" spans="1:13" x14ac:dyDescent="0.25">
      <c r="A45" s="1">
        <v>45597</v>
      </c>
      <c r="B45" s="2">
        <v>23276.2</v>
      </c>
      <c r="C45" s="2">
        <f t="shared" si="0"/>
        <v>23340.5</v>
      </c>
      <c r="D45" s="2">
        <f t="shared" si="0"/>
        <v>24851.322222222225</v>
      </c>
      <c r="E45">
        <f t="shared" si="1"/>
        <v>21829.677777777775</v>
      </c>
      <c r="F45" s="2">
        <f t="shared" si="2"/>
        <v>-1510.8222222222248</v>
      </c>
      <c r="G45" s="2">
        <f t="shared" si="3"/>
        <v>20681.177777777768</v>
      </c>
      <c r="H45" s="2">
        <f t="shared" si="4"/>
        <v>2595.0222222222328</v>
      </c>
      <c r="I45" s="18">
        <f t="shared" si="5"/>
        <v>20775.130128205117</v>
      </c>
      <c r="J45" s="2">
        <f t="shared" si="6"/>
        <v>2501.0698717948835</v>
      </c>
      <c r="K45" s="19">
        <f t="shared" si="7"/>
        <v>12243.986321434248</v>
      </c>
      <c r="L45" s="19">
        <f t="shared" si="8"/>
        <v>29306.273934975987</v>
      </c>
      <c r="M45">
        <f t="shared" si="9"/>
        <v>2501.0698717948835</v>
      </c>
    </row>
    <row r="46" spans="1:13" x14ac:dyDescent="0.25">
      <c r="A46" s="1">
        <v>45627</v>
      </c>
      <c r="B46" s="2">
        <v>25111</v>
      </c>
      <c r="C46" s="2">
        <f t="shared" si="0"/>
        <v>22553.3</v>
      </c>
      <c r="D46" s="2">
        <f t="shared" si="0"/>
        <v>23386.622222222224</v>
      </c>
      <c r="E46">
        <f t="shared" si="1"/>
        <v>21719.977777777774</v>
      </c>
      <c r="F46" s="2">
        <f t="shared" si="2"/>
        <v>-833.32222222222481</v>
      </c>
      <c r="G46" s="2">
        <f t="shared" si="3"/>
        <v>20318.85555555555</v>
      </c>
      <c r="H46" s="2">
        <f t="shared" si="4"/>
        <v>4792.1444444444496</v>
      </c>
      <c r="I46" s="18">
        <f t="shared" si="5"/>
        <v>20412.8079059829</v>
      </c>
      <c r="J46" s="2">
        <f t="shared" si="6"/>
        <v>4698.1920940171003</v>
      </c>
      <c r="K46" s="19">
        <f t="shared" si="7"/>
        <v>11881.66409921203</v>
      </c>
      <c r="L46" s="19">
        <f t="shared" si="8"/>
        <v>28943.951712753769</v>
      </c>
      <c r="M46">
        <f t="shared" si="9"/>
        <v>4698.1920940171003</v>
      </c>
    </row>
    <row r="47" spans="1:13" x14ac:dyDescent="0.25">
      <c r="A47" s="1">
        <v>45658</v>
      </c>
      <c r="B47" s="2">
        <v>21198.400000000001</v>
      </c>
      <c r="C47" s="2">
        <f t="shared" si="0"/>
        <v>23195.200000000001</v>
      </c>
      <c r="D47" s="2">
        <f t="shared" si="0"/>
        <v>23029.666666666668</v>
      </c>
      <c r="E47">
        <f t="shared" si="1"/>
        <v>23360.733333333334</v>
      </c>
      <c r="F47" s="2">
        <f t="shared" si="2"/>
        <v>165.53333333333285</v>
      </c>
      <c r="G47" s="2">
        <f t="shared" si="3"/>
        <v>20886.65555555555</v>
      </c>
      <c r="H47" s="2">
        <f t="shared" si="4"/>
        <v>311.7444444444518</v>
      </c>
      <c r="I47" s="18">
        <f t="shared" si="5"/>
        <v>20980.607905982899</v>
      </c>
      <c r="J47" s="2">
        <f t="shared" si="6"/>
        <v>217.7920940171025</v>
      </c>
      <c r="K47" s="19">
        <f t="shared" si="7"/>
        <v>12449.464099212029</v>
      </c>
      <c r="L47" s="19">
        <f t="shared" si="8"/>
        <v>29511.751712753769</v>
      </c>
      <c r="M47">
        <f t="shared" si="9"/>
        <v>217.7920940171025</v>
      </c>
    </row>
    <row r="48" spans="1:13" x14ac:dyDescent="0.25">
      <c r="A48" s="1">
        <v>45689</v>
      </c>
      <c r="B48" s="2">
        <v>15355.3</v>
      </c>
      <c r="C48" s="2">
        <f t="shared" si="0"/>
        <v>20554.899999999998</v>
      </c>
      <c r="D48" s="2">
        <f t="shared" si="0"/>
        <v>22101.133333333331</v>
      </c>
      <c r="E48">
        <f t="shared" si="1"/>
        <v>19008.666666666664</v>
      </c>
      <c r="F48" s="2">
        <f t="shared" si="2"/>
        <v>-1546.2333333333336</v>
      </c>
      <c r="G48" s="2">
        <f t="shared" si="3"/>
        <v>23526.266666666666</v>
      </c>
      <c r="H48" s="2">
        <f t="shared" si="4"/>
        <v>-8170.9666666666672</v>
      </c>
      <c r="I48" s="18">
        <f t="shared" si="5"/>
        <v>23620.219017094016</v>
      </c>
      <c r="J48" s="2">
        <f t="shared" si="6"/>
        <v>-8264.9190170940165</v>
      </c>
      <c r="K48" s="19">
        <f t="shared" si="7"/>
        <v>15089.075210323146</v>
      </c>
      <c r="L48" s="19">
        <f t="shared" si="8"/>
        <v>32151.362823864885</v>
      </c>
      <c r="M48">
        <f t="shared" si="9"/>
        <v>8264.9190170940165</v>
      </c>
    </row>
    <row r="49" spans="1:13" x14ac:dyDescent="0.25">
      <c r="A49" s="1">
        <v>45717</v>
      </c>
      <c r="B49" s="2">
        <v>13494.8</v>
      </c>
      <c r="C49" s="2">
        <f t="shared" si="0"/>
        <v>16682.833333333332</v>
      </c>
      <c r="D49" s="2">
        <f t="shared" si="0"/>
        <v>20144.31111111111</v>
      </c>
      <c r="E49">
        <f t="shared" si="1"/>
        <v>13221.355555555554</v>
      </c>
      <c r="F49" s="2">
        <f t="shared" si="2"/>
        <v>-3461.4777777777781</v>
      </c>
      <c r="G49" s="2">
        <f t="shared" si="3"/>
        <v>17462.433333333331</v>
      </c>
      <c r="H49" s="2">
        <f t="shared" si="4"/>
        <v>-3967.6333333333314</v>
      </c>
      <c r="I49" s="18">
        <f t="shared" si="5"/>
        <v>17556.38568376068</v>
      </c>
      <c r="J49" s="2">
        <f t="shared" si="6"/>
        <v>-4061.5856837606807</v>
      </c>
      <c r="K49" s="19">
        <f t="shared" si="7"/>
        <v>9025.2418769898104</v>
      </c>
      <c r="L49" s="19">
        <f t="shared" si="8"/>
        <v>26087.52949053155</v>
      </c>
      <c r="M49">
        <f t="shared" si="9"/>
        <v>4061.5856837606807</v>
      </c>
    </row>
    <row r="50" spans="1:13" x14ac:dyDescent="0.25">
      <c r="A50" s="1">
        <v>45748</v>
      </c>
      <c r="B50" s="2">
        <v>16201.6</v>
      </c>
      <c r="C50" s="2">
        <f t="shared" si="0"/>
        <v>15017.233333333332</v>
      </c>
      <c r="D50" s="2">
        <f t="shared" si="0"/>
        <v>17418.322222222221</v>
      </c>
      <c r="E50">
        <f t="shared" si="1"/>
        <v>12616.144444444442</v>
      </c>
      <c r="F50" s="2">
        <f t="shared" si="2"/>
        <v>-2401.0888888888894</v>
      </c>
      <c r="G50" s="2">
        <f t="shared" si="3"/>
        <v>9759.8777777777759</v>
      </c>
      <c r="H50" s="2">
        <f t="shared" si="4"/>
        <v>6441.7222222222244</v>
      </c>
      <c r="I50" s="18">
        <f t="shared" si="5"/>
        <v>9853.830128205127</v>
      </c>
      <c r="J50" s="2">
        <f t="shared" si="6"/>
        <v>6347.7698717948733</v>
      </c>
      <c r="K50" s="19">
        <f t="shared" si="7"/>
        <v>1322.6863214342575</v>
      </c>
      <c r="L50" s="19">
        <f t="shared" si="8"/>
        <v>18384.973934975998</v>
      </c>
      <c r="M50">
        <f t="shared" si="9"/>
        <v>6347.7698717948733</v>
      </c>
    </row>
    <row r="51" spans="1:13" x14ac:dyDescent="0.25">
      <c r="A51" s="1">
        <v>45778</v>
      </c>
      <c r="B51" s="2">
        <v>20453.5</v>
      </c>
      <c r="C51" s="2">
        <f t="shared" si="0"/>
        <v>16716.633333333335</v>
      </c>
      <c r="D51" s="2">
        <f t="shared" si="0"/>
        <v>16138.9</v>
      </c>
      <c r="E51">
        <f t="shared" si="1"/>
        <v>17294.366666666669</v>
      </c>
      <c r="F51" s="2">
        <f t="shared" si="2"/>
        <v>577.73333333333539</v>
      </c>
      <c r="G51" s="2">
        <f t="shared" si="3"/>
        <v>10215.055555555553</v>
      </c>
      <c r="H51" s="2">
        <f t="shared" si="4"/>
        <v>10238.444444444447</v>
      </c>
      <c r="I51" s="18">
        <f t="shared" si="5"/>
        <v>10309.007905982904</v>
      </c>
      <c r="J51" s="2">
        <f t="shared" si="6"/>
        <v>10144.492094017096</v>
      </c>
      <c r="K51" s="19">
        <f t="shared" si="7"/>
        <v>1777.8640992120345</v>
      </c>
      <c r="L51" s="19">
        <f t="shared" si="8"/>
        <v>18840.151712753774</v>
      </c>
      <c r="M51">
        <f t="shared" si="9"/>
        <v>10144.492094017096</v>
      </c>
    </row>
    <row r="52" spans="1:13" x14ac:dyDescent="0.25">
      <c r="A52" s="1">
        <v>45809</v>
      </c>
      <c r="B52" s="2">
        <v>20186.900000000001</v>
      </c>
      <c r="C52" s="2">
        <f t="shared" si="0"/>
        <v>18947.333333333332</v>
      </c>
      <c r="D52" s="2">
        <f t="shared" si="0"/>
        <v>16893.733333333334</v>
      </c>
      <c r="E52">
        <f t="shared" si="1"/>
        <v>21000.933333333331</v>
      </c>
      <c r="F52" s="2">
        <f t="shared" si="2"/>
        <v>2053.5999999999985</v>
      </c>
      <c r="G52" s="2">
        <f t="shared" si="3"/>
        <v>17872.100000000006</v>
      </c>
      <c r="H52" s="2">
        <f t="shared" si="4"/>
        <v>2314.7999999999956</v>
      </c>
      <c r="I52" s="18">
        <f t="shared" si="5"/>
        <v>17966.052350427355</v>
      </c>
      <c r="J52" s="2">
        <f t="shared" si="6"/>
        <v>2220.8476495726463</v>
      </c>
      <c r="K52" s="19">
        <f t="shared" si="7"/>
        <v>9434.9085436564856</v>
      </c>
      <c r="L52" s="19">
        <f t="shared" si="8"/>
        <v>26497.196157198225</v>
      </c>
      <c r="M52">
        <f t="shared" si="9"/>
        <v>2220.8476495726463</v>
      </c>
    </row>
    <row r="53" spans="1:13" x14ac:dyDescent="0.25">
      <c r="A53" s="1">
        <v>45839</v>
      </c>
      <c r="B53" s="2">
        <v>13949.1</v>
      </c>
      <c r="C53" s="2">
        <f t="shared" si="0"/>
        <v>18196.5</v>
      </c>
      <c r="D53" s="2">
        <f t="shared" si="0"/>
        <v>17953.488888888889</v>
      </c>
      <c r="E53">
        <f t="shared" si="1"/>
        <v>18439.511111111111</v>
      </c>
      <c r="F53" s="2">
        <f t="shared" si="2"/>
        <v>243.01111111111095</v>
      </c>
      <c r="G53" s="2">
        <f t="shared" si="3"/>
        <v>23054.533333333329</v>
      </c>
      <c r="H53" s="2">
        <f t="shared" si="4"/>
        <v>-9105.4333333333288</v>
      </c>
      <c r="I53" s="18">
        <f t="shared" si="5"/>
        <v>23148.485683760679</v>
      </c>
      <c r="J53" s="2">
        <f t="shared" si="6"/>
        <v>-9199.3856837606781</v>
      </c>
      <c r="K53" s="19">
        <f t="shared" si="7"/>
        <v>14617.341876989809</v>
      </c>
      <c r="L53" s="19">
        <f t="shared" si="8"/>
        <v>31679.629490531548</v>
      </c>
      <c r="M53">
        <f t="shared" si="9"/>
        <v>9199.3856837606781</v>
      </c>
    </row>
    <row r="54" spans="1:13" x14ac:dyDescent="0.25">
      <c r="A54" s="1">
        <v>45870</v>
      </c>
      <c r="B54" s="2">
        <v>12749.4</v>
      </c>
      <c r="C54" s="2">
        <f t="shared" si="0"/>
        <v>15628.466666666667</v>
      </c>
      <c r="D54" s="2">
        <f t="shared" si="0"/>
        <v>17590.766666666666</v>
      </c>
      <c r="E54">
        <f t="shared" si="1"/>
        <v>13666.166666666668</v>
      </c>
      <c r="F54" s="2">
        <f t="shared" si="2"/>
        <v>-1962.2999999999993</v>
      </c>
      <c r="G54" s="2">
        <f t="shared" si="3"/>
        <v>18682.522222222222</v>
      </c>
      <c r="H54" s="2">
        <f t="shared" si="4"/>
        <v>-5933.1222222222223</v>
      </c>
      <c r="I54" s="18">
        <f t="shared" si="5"/>
        <v>18776.474572649571</v>
      </c>
      <c r="J54" s="2">
        <f t="shared" si="6"/>
        <v>-6027.0745726495716</v>
      </c>
      <c r="K54" s="19">
        <f t="shared" si="7"/>
        <v>10245.330765878702</v>
      </c>
      <c r="L54" s="19">
        <f t="shared" si="8"/>
        <v>27307.618379420441</v>
      </c>
      <c r="M54">
        <f t="shared" si="9"/>
        <v>6027.0745726495716</v>
      </c>
    </row>
    <row r="55" spans="1:13" x14ac:dyDescent="0.25">
      <c r="A55" s="1">
        <v>45901</v>
      </c>
      <c r="B55" s="2">
        <v>13183.5</v>
      </c>
      <c r="C55" s="2">
        <f t="shared" si="0"/>
        <v>13294</v>
      </c>
      <c r="D55" s="2">
        <f t="shared" si="0"/>
        <v>15706.322222222223</v>
      </c>
      <c r="E55">
        <f t="shared" si="1"/>
        <v>10881.677777777777</v>
      </c>
      <c r="F55" s="2">
        <f t="shared" si="2"/>
        <v>-2412.322222222223</v>
      </c>
      <c r="G55" s="2">
        <f t="shared" si="3"/>
        <v>11703.866666666669</v>
      </c>
      <c r="H55" s="2">
        <f t="shared" si="4"/>
        <v>1479.6333333333314</v>
      </c>
      <c r="I55" s="18">
        <f t="shared" si="5"/>
        <v>11797.81901709402</v>
      </c>
      <c r="J55" s="2">
        <f t="shared" si="6"/>
        <v>1385.6809829059803</v>
      </c>
      <c r="K55" s="19">
        <f t="shared" si="7"/>
        <v>3266.6752103231502</v>
      </c>
      <c r="L55" s="19">
        <f t="shared" si="8"/>
        <v>20328.962823864887</v>
      </c>
      <c r="M55">
        <f t="shared" si="9"/>
        <v>1385.6809829059803</v>
      </c>
    </row>
    <row r="56" spans="1:13" x14ac:dyDescent="0.25">
      <c r="A56" s="1">
        <v>45931</v>
      </c>
      <c r="B56" s="2">
        <v>13221</v>
      </c>
      <c r="C56" s="2">
        <f t="shared" si="0"/>
        <v>13051.300000000001</v>
      </c>
      <c r="D56" s="2">
        <f t="shared" si="0"/>
        <v>13991.255555555557</v>
      </c>
      <c r="E56">
        <f t="shared" si="1"/>
        <v>12111.344444444445</v>
      </c>
      <c r="F56" s="2">
        <f t="shared" si="2"/>
        <v>-939.9555555555562</v>
      </c>
      <c r="G56" s="2">
        <f t="shared" si="3"/>
        <v>8469.355555555554</v>
      </c>
      <c r="H56" s="2">
        <f t="shared" si="4"/>
        <v>4751.644444444446</v>
      </c>
      <c r="I56" s="18">
        <f t="shared" si="5"/>
        <v>8563.3079059829051</v>
      </c>
      <c r="J56" s="2">
        <f t="shared" si="6"/>
        <v>4657.6920940170949</v>
      </c>
      <c r="K56" s="19">
        <f t="shared" si="7"/>
        <v>32.16409921203558</v>
      </c>
      <c r="L56" s="19">
        <f t="shared" si="8"/>
        <v>17094.451712753777</v>
      </c>
      <c r="M56">
        <f t="shared" si="9"/>
        <v>4657.6920940170949</v>
      </c>
    </row>
    <row r="57" spans="1:13" x14ac:dyDescent="0.25">
      <c r="A57" s="1">
        <v>45962</v>
      </c>
      <c r="B57" s="2">
        <v>18164.099999999999</v>
      </c>
      <c r="C57" s="2">
        <f t="shared" si="0"/>
        <v>14856.199999999999</v>
      </c>
      <c r="D57" s="2">
        <f t="shared" si="0"/>
        <v>13733.833333333334</v>
      </c>
      <c r="E57">
        <f t="shared" si="1"/>
        <v>15978.566666666664</v>
      </c>
      <c r="F57" s="2">
        <f t="shared" si="2"/>
        <v>1122.366666666665</v>
      </c>
      <c r="G57" s="2">
        <f t="shared" si="3"/>
        <v>11171.388888888889</v>
      </c>
      <c r="H57" s="2">
        <f t="shared" si="4"/>
        <v>6992.7111111111099</v>
      </c>
      <c r="I57" s="18">
        <f t="shared" si="5"/>
        <v>11265.34123931624</v>
      </c>
      <c r="J57" s="2">
        <f t="shared" si="6"/>
        <v>6898.7587606837587</v>
      </c>
      <c r="K57" s="19">
        <f t="shared" si="7"/>
        <v>2734.1974325453702</v>
      </c>
      <c r="L57" s="19">
        <f t="shared" si="8"/>
        <v>19796.485046087109</v>
      </c>
      <c r="M57">
        <f t="shared" si="9"/>
        <v>6898.7587606837587</v>
      </c>
    </row>
    <row r="58" spans="1:13" x14ac:dyDescent="0.25">
      <c r="A58" s="1">
        <v>45992</v>
      </c>
      <c r="B58" s="2">
        <v>18027.400000000001</v>
      </c>
      <c r="C58" s="2">
        <f t="shared" si="0"/>
        <v>16470.833333333332</v>
      </c>
      <c r="D58" s="2">
        <f t="shared" si="0"/>
        <v>14792.777777777776</v>
      </c>
      <c r="E58">
        <f t="shared" si="1"/>
        <v>18148.888888888891</v>
      </c>
      <c r="F58" s="2">
        <f t="shared" si="2"/>
        <v>1678.0555555555566</v>
      </c>
      <c r="G58" s="2">
        <f t="shared" si="3"/>
        <v>17100.933333333327</v>
      </c>
      <c r="H58" s="2">
        <f t="shared" si="4"/>
        <v>926.46666666667443</v>
      </c>
      <c r="I58" s="18">
        <f t="shared" si="5"/>
        <v>17194.885683760676</v>
      </c>
      <c r="J58" s="2">
        <f t="shared" si="6"/>
        <v>832.51431623932513</v>
      </c>
      <c r="K58" s="19">
        <f t="shared" si="7"/>
        <v>8663.7418769898068</v>
      </c>
      <c r="L58" s="19">
        <f t="shared" si="8"/>
        <v>25726.029490531546</v>
      </c>
      <c r="M58">
        <f t="shared" si="9"/>
        <v>832.51431623932513</v>
      </c>
    </row>
    <row r="59" spans="1:13" x14ac:dyDescent="0.25">
      <c r="A59" s="1">
        <v>46023</v>
      </c>
      <c r="B59" s="2">
        <v>18065.5</v>
      </c>
      <c r="C59" s="2">
        <f t="shared" si="0"/>
        <v>18085.666666666668</v>
      </c>
      <c r="D59" s="2">
        <f t="shared" si="0"/>
        <v>16470.899999999998</v>
      </c>
      <c r="E59">
        <f t="shared" si="1"/>
        <v>19700.433333333338</v>
      </c>
      <c r="F59" s="2">
        <f t="shared" si="2"/>
        <v>1614.7666666666701</v>
      </c>
      <c r="G59" s="2">
        <f t="shared" si="3"/>
        <v>19826.944444444445</v>
      </c>
      <c r="H59" s="2">
        <f t="shared" si="4"/>
        <v>-1761.4444444444453</v>
      </c>
      <c r="I59" s="18">
        <f t="shared" si="5"/>
        <v>19920.896794871795</v>
      </c>
      <c r="J59" s="2">
        <f t="shared" si="6"/>
        <v>-1855.3967948717946</v>
      </c>
      <c r="K59" s="19">
        <f t="shared" si="7"/>
        <v>11389.752988100925</v>
      </c>
      <c r="L59" s="19">
        <f t="shared" si="8"/>
        <v>28452.040601642664</v>
      </c>
      <c r="M59">
        <f t="shared" si="9"/>
        <v>1855.3967948717946</v>
      </c>
    </row>
    <row r="60" spans="1:13" x14ac:dyDescent="0.25">
      <c r="A60" s="1">
        <v>46054</v>
      </c>
      <c r="B60" s="2">
        <v>12633.1</v>
      </c>
      <c r="C60" s="2">
        <f t="shared" si="0"/>
        <v>16242</v>
      </c>
      <c r="D60" s="2">
        <f t="shared" si="0"/>
        <v>16932.833333333332</v>
      </c>
      <c r="E60">
        <f t="shared" si="1"/>
        <v>15551.166666666668</v>
      </c>
      <c r="F60" s="2">
        <f t="shared" si="2"/>
        <v>-690.83333333333212</v>
      </c>
      <c r="G60" s="2">
        <f t="shared" si="3"/>
        <v>21315.200000000008</v>
      </c>
      <c r="H60" s="2">
        <f t="shared" si="4"/>
        <v>-8682.1000000000076</v>
      </c>
      <c r="I60" s="18">
        <f t="shared" si="5"/>
        <v>21409.152350427357</v>
      </c>
      <c r="J60" s="2">
        <f t="shared" si="6"/>
        <v>-8776.0523504273569</v>
      </c>
      <c r="K60" s="19">
        <f t="shared" si="7"/>
        <v>12878.008543656488</v>
      </c>
      <c r="L60" s="19">
        <f t="shared" si="8"/>
        <v>29940.296157198227</v>
      </c>
      <c r="M60">
        <f t="shared" si="9"/>
        <v>8776.0523504273569</v>
      </c>
    </row>
    <row r="61" spans="1:13" x14ac:dyDescent="0.25">
      <c r="A61" s="1">
        <v>46082</v>
      </c>
      <c r="B61" s="2">
        <v>17500.8</v>
      </c>
      <c r="C61" s="2">
        <f t="shared" si="0"/>
        <v>16066.466666666665</v>
      </c>
      <c r="D61" s="2">
        <f t="shared" si="0"/>
        <v>16798.044444444447</v>
      </c>
      <c r="E61" s="20">
        <f>2*C61-D61</f>
        <v>15334.888888888883</v>
      </c>
      <c r="F61" s="21">
        <f t="shared" si="2"/>
        <v>-731.5777777777821</v>
      </c>
      <c r="G61" s="2">
        <f>E60+F60</f>
        <v>14860.333333333336</v>
      </c>
      <c r="H61" s="2">
        <f t="shared" si="4"/>
        <v>2640.4666666666635</v>
      </c>
      <c r="I61" s="18">
        <f t="shared" si="5"/>
        <v>14954.285683760687</v>
      </c>
      <c r="J61" s="2">
        <f t="shared" si="6"/>
        <v>2546.5143162393124</v>
      </c>
      <c r="K61" s="19">
        <f t="shared" si="7"/>
        <v>6423.1418769898173</v>
      </c>
      <c r="L61" s="19">
        <f t="shared" si="8"/>
        <v>23485.429490531555</v>
      </c>
      <c r="M61">
        <f t="shared" si="9"/>
        <v>2546.5143162393124</v>
      </c>
    </row>
    <row r="62" spans="1:13" x14ac:dyDescent="0.25">
      <c r="A62" s="1">
        <v>46113</v>
      </c>
      <c r="B62" s="2">
        <v>1</v>
      </c>
      <c r="G62" s="2">
        <f>$E$61+B62*$F$61</f>
        <v>14603.311111111101</v>
      </c>
      <c r="H62" s="2"/>
      <c r="I62" s="18">
        <f>G62+$H$2</f>
        <v>14697.263461538452</v>
      </c>
      <c r="J62" s="2"/>
      <c r="K62" s="19"/>
      <c r="L62" s="19"/>
    </row>
    <row r="63" spans="1:13" x14ac:dyDescent="0.25">
      <c r="A63" s="1">
        <v>46143</v>
      </c>
      <c r="B63" s="2">
        <v>2</v>
      </c>
      <c r="G63" s="2">
        <f t="shared" ref="G63:G73" si="10">$E$61+B63*$F$61</f>
        <v>13871.733333333319</v>
      </c>
      <c r="I63" s="18">
        <f t="shared" si="5"/>
        <v>13965.68568376067</v>
      </c>
    </row>
    <row r="64" spans="1:13" x14ac:dyDescent="0.25">
      <c r="A64" s="1">
        <v>46174</v>
      </c>
      <c r="B64" s="2">
        <v>3</v>
      </c>
      <c r="G64" s="2">
        <f t="shared" si="10"/>
        <v>13140.155555555537</v>
      </c>
      <c r="I64" s="18">
        <f t="shared" si="5"/>
        <v>13234.107905982888</v>
      </c>
    </row>
    <row r="65" spans="1:9" x14ac:dyDescent="0.25">
      <c r="A65" s="1">
        <v>46204</v>
      </c>
      <c r="B65" s="2">
        <v>4</v>
      </c>
      <c r="G65" s="2">
        <f t="shared" si="10"/>
        <v>12408.577777777755</v>
      </c>
      <c r="I65" s="18">
        <f t="shared" si="5"/>
        <v>12502.530128205106</v>
      </c>
    </row>
    <row r="66" spans="1:9" x14ac:dyDescent="0.25">
      <c r="A66" s="1">
        <v>46235</v>
      </c>
      <c r="B66" s="2">
        <v>5</v>
      </c>
      <c r="G66" s="2">
        <f t="shared" si="10"/>
        <v>11676.999999999973</v>
      </c>
      <c r="I66" s="18">
        <f t="shared" si="5"/>
        <v>11770.952350427324</v>
      </c>
    </row>
    <row r="67" spans="1:9" x14ac:dyDescent="0.25">
      <c r="A67" s="1">
        <v>46266</v>
      </c>
      <c r="B67" s="2">
        <v>6</v>
      </c>
      <c r="G67" s="2">
        <f t="shared" si="10"/>
        <v>10945.422222222191</v>
      </c>
      <c r="I67" s="18">
        <f t="shared" si="5"/>
        <v>11039.374572649542</v>
      </c>
    </row>
    <row r="68" spans="1:9" x14ac:dyDescent="0.25">
      <c r="A68" s="1">
        <v>46296</v>
      </c>
      <c r="B68" s="2">
        <v>7</v>
      </c>
      <c r="G68" s="2">
        <f t="shared" si="10"/>
        <v>10213.844444444409</v>
      </c>
      <c r="I68" s="18">
        <f t="shared" si="5"/>
        <v>10307.79679487176</v>
      </c>
    </row>
    <row r="69" spans="1:9" x14ac:dyDescent="0.25">
      <c r="A69" s="1">
        <v>46327</v>
      </c>
      <c r="B69" s="2">
        <v>8</v>
      </c>
      <c r="G69" s="2">
        <f t="shared" si="10"/>
        <v>9482.2666666666264</v>
      </c>
      <c r="I69" s="18">
        <f t="shared" si="5"/>
        <v>9576.2190170939775</v>
      </c>
    </row>
    <row r="70" spans="1:9" x14ac:dyDescent="0.25">
      <c r="A70" s="1">
        <v>46357</v>
      </c>
      <c r="B70" s="2">
        <v>9</v>
      </c>
      <c r="G70" s="2">
        <f t="shared" si="10"/>
        <v>8750.6888888888443</v>
      </c>
      <c r="I70" s="18">
        <f t="shared" si="5"/>
        <v>8844.6412393161954</v>
      </c>
    </row>
    <row r="71" spans="1:9" x14ac:dyDescent="0.25">
      <c r="A71" s="1">
        <v>46388</v>
      </c>
      <c r="B71" s="2">
        <v>10</v>
      </c>
      <c r="G71" s="2">
        <f t="shared" si="10"/>
        <v>8019.1111111110622</v>
      </c>
      <c r="I71" s="18">
        <f t="shared" si="5"/>
        <v>8113.0634615384124</v>
      </c>
    </row>
    <row r="72" spans="1:9" x14ac:dyDescent="0.25">
      <c r="A72" s="1">
        <v>46419</v>
      </c>
      <c r="B72" s="2">
        <v>11</v>
      </c>
      <c r="G72" s="2">
        <f t="shared" si="10"/>
        <v>7287.5333333332801</v>
      </c>
      <c r="I72" s="18">
        <f t="shared" si="5"/>
        <v>7381.4856837606303</v>
      </c>
    </row>
    <row r="73" spans="1:9" x14ac:dyDescent="0.25">
      <c r="A73" s="1">
        <v>46447</v>
      </c>
      <c r="B73" s="2">
        <v>12</v>
      </c>
      <c r="G73" s="2">
        <f t="shared" si="10"/>
        <v>6555.955555555498</v>
      </c>
      <c r="I73" s="18">
        <f t="shared" si="5"/>
        <v>6649.9079059828482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F9F40-4D6B-4C84-BE81-E4713320AE67}">
  <dimension ref="A1:H21"/>
  <sheetViews>
    <sheetView workbookViewId="0">
      <selection activeCell="B17" sqref="B17"/>
    </sheetView>
  </sheetViews>
  <sheetFormatPr defaultRowHeight="14.3" x14ac:dyDescent="0.25"/>
  <sheetData>
    <row r="1" spans="1:8" x14ac:dyDescent="0.25">
      <c r="A1" t="s">
        <v>31</v>
      </c>
      <c r="D1" t="s">
        <v>50</v>
      </c>
      <c r="E1" s="3">
        <v>2.2000000000000002</v>
      </c>
      <c r="G1" t="s">
        <v>62</v>
      </c>
    </row>
    <row r="3" spans="1:8" x14ac:dyDescent="0.25">
      <c r="A3" s="9"/>
      <c r="B3" s="10">
        <f>'K = 3'!J10</f>
        <v>4486.0254273504252</v>
      </c>
      <c r="E3" s="11">
        <f>'K = 3'!J10</f>
        <v>4486.0254273504252</v>
      </c>
      <c r="G3" s="9"/>
      <c r="H3" s="10">
        <f>'K = 3'!J10</f>
        <v>4486.0254273504252</v>
      </c>
    </row>
    <row r="4" spans="1:8" x14ac:dyDescent="0.25">
      <c r="A4" t="s">
        <v>32</v>
      </c>
      <c r="B4" s="2">
        <f>AVERAGE('K = 3'!J11:J61)</f>
        <v>-87.961282889223739</v>
      </c>
      <c r="D4" t="s">
        <v>53</v>
      </c>
      <c r="E4" s="12">
        <f>E11-$E18</f>
        <v>0</v>
      </c>
      <c r="G4" t="s">
        <v>63</v>
      </c>
      <c r="H4">
        <f>[1]!SHAPIRO('K = 3'!J11:J61)</f>
        <v>0.96746084498661356</v>
      </c>
    </row>
    <row r="5" spans="1:8" x14ac:dyDescent="0.25">
      <c r="A5" t="s">
        <v>33</v>
      </c>
      <c r="B5">
        <f>_xlfn.STDEV.S('K = 3'!J11:J61)/SQRT(COUNT('K = 3'!J11:J61))</f>
        <v>608.98284626091117</v>
      </c>
      <c r="D5" t="s">
        <v>57</v>
      </c>
      <c r="E5" s="13">
        <f>MAX(E12-E11,0)</f>
        <v>6503.9777777777781</v>
      </c>
      <c r="G5" t="s">
        <v>29</v>
      </c>
      <c r="H5">
        <f>[1]!SWTEST('K = 3'!J11:J61)</f>
        <v>0.17316385214175523</v>
      </c>
    </row>
    <row r="6" spans="1:8" x14ac:dyDescent="0.25">
      <c r="A6" t="s">
        <v>34</v>
      </c>
      <c r="B6" s="2">
        <f>MEDIAN('K = 3'!J11:J61)</f>
        <v>582.23653846154411</v>
      </c>
      <c r="D6" t="s">
        <v>58</v>
      </c>
      <c r="E6" s="13">
        <f t="shared" ref="E6:E8" si="0">MAX(E13-E12,0)</f>
        <v>3277.6444444444442</v>
      </c>
      <c r="G6" t="s">
        <v>8</v>
      </c>
      <c r="H6">
        <v>0.05</v>
      </c>
    </row>
    <row r="7" spans="1:8" x14ac:dyDescent="0.25">
      <c r="A7" t="s">
        <v>35</v>
      </c>
      <c r="B7" t="e">
        <f>MODE('K = 3'!J11:J61)</f>
        <v>#N/A</v>
      </c>
      <c r="D7" t="s">
        <v>59</v>
      </c>
      <c r="E7" s="13">
        <f t="shared" si="0"/>
        <v>1873.3888888888869</v>
      </c>
      <c r="G7" s="5" t="s">
        <v>64</v>
      </c>
      <c r="H7" s="16" t="str">
        <f>IF(H5&lt;H6,"no","yes")</f>
        <v>yes</v>
      </c>
    </row>
    <row r="8" spans="1:8" x14ac:dyDescent="0.25">
      <c r="A8" t="s">
        <v>36</v>
      </c>
      <c r="B8">
        <f>_xlfn.STDEV.S('K = 3'!J11:J61)</f>
        <v>4349.0074107826113</v>
      </c>
      <c r="D8" t="s">
        <v>60</v>
      </c>
      <c r="E8" s="13">
        <f t="shared" si="0"/>
        <v>7688.866666666665</v>
      </c>
    </row>
    <row r="9" spans="1:8" x14ac:dyDescent="0.25">
      <c r="A9" t="s">
        <v>37</v>
      </c>
      <c r="B9">
        <f>_xlfn.VAR.S('K = 3'!J11:J61)</f>
        <v>18913865.459042072</v>
      </c>
      <c r="D9" t="s">
        <v>32</v>
      </c>
      <c r="E9" s="15">
        <f>E16-$E18</f>
        <v>9111.4244008714541</v>
      </c>
      <c r="G9" t="s">
        <v>65</v>
      </c>
    </row>
    <row r="10" spans="1:8" x14ac:dyDescent="0.25">
      <c r="A10" t="s">
        <v>38</v>
      </c>
      <c r="B10">
        <f>KURT('K = 3'!J11:J61)</f>
        <v>-0.1323060529834823</v>
      </c>
    </row>
    <row r="11" spans="1:8" x14ac:dyDescent="0.25">
      <c r="A11" t="s">
        <v>39</v>
      </c>
      <c r="B11">
        <f>SKEW('K = 3'!J11:J61)</f>
        <v>-0.32536925900623481</v>
      </c>
      <c r="D11" t="s">
        <v>53</v>
      </c>
      <c r="E11" s="12">
        <f t="array" ref="E11">MIN(IF(ISBLANK('K = 3'!J11:J61),"",IF('K = 3'!J11:J61&gt;=E12-$E1*(E14-E12),'K = 3'!J11:J61,"")))</f>
        <v>-9199.3856837606781</v>
      </c>
      <c r="G11" s="17" t="s">
        <v>66</v>
      </c>
      <c r="H11" s="17">
        <f>[1]!DAGOSTINO('K = 3'!J11:J61)</f>
        <v>1.0164306227900295</v>
      </c>
    </row>
    <row r="12" spans="1:8" x14ac:dyDescent="0.25">
      <c r="A12" t="s">
        <v>40</v>
      </c>
      <c r="B12">
        <f>B13-B14</f>
        <v>19343.877777777772</v>
      </c>
      <c r="D12" t="s">
        <v>54</v>
      </c>
      <c r="E12" s="13">
        <f>_xlfn.QUARTILE.INC('K = 3'!J11:J61,1)</f>
        <v>-2695.4079059829</v>
      </c>
      <c r="G12" t="s">
        <v>29</v>
      </c>
      <c r="H12">
        <f>[1]!DPTEST('K = 3'!J11:J61)</f>
        <v>0.60156823332154563</v>
      </c>
    </row>
    <row r="13" spans="1:8" x14ac:dyDescent="0.25">
      <c r="A13" t="s">
        <v>41</v>
      </c>
      <c r="B13" s="2">
        <f>MAX('K = 3'!J11:J61)</f>
        <v>10144.492094017096</v>
      </c>
      <c r="D13" t="s">
        <v>34</v>
      </c>
      <c r="E13" s="14">
        <f>MEDIAN('K = 3'!J11:J61)</f>
        <v>582.23653846154411</v>
      </c>
      <c r="G13" t="s">
        <v>8</v>
      </c>
      <c r="H13">
        <v>0.05</v>
      </c>
    </row>
    <row r="14" spans="1:8" x14ac:dyDescent="0.25">
      <c r="A14" t="s">
        <v>42</v>
      </c>
      <c r="B14" s="2">
        <f>MIN('K = 3'!J11:J61)</f>
        <v>-9199.3856837606781</v>
      </c>
      <c r="D14" t="s">
        <v>55</v>
      </c>
      <c r="E14" s="13">
        <f>_xlfn.QUARTILE.INC('K = 3'!J11:J61,3)</f>
        <v>2455.625427350431</v>
      </c>
      <c r="G14" s="5" t="s">
        <v>64</v>
      </c>
      <c r="H14" s="16" t="str">
        <f>IF(H12&lt;H13,"no","yes")</f>
        <v>yes</v>
      </c>
    </row>
    <row r="15" spans="1:8" x14ac:dyDescent="0.25">
      <c r="A15" t="s">
        <v>43</v>
      </c>
      <c r="B15" s="2">
        <f>SUM('K = 3'!J11:J61)</f>
        <v>-4486.0254273504106</v>
      </c>
      <c r="D15" t="s">
        <v>56</v>
      </c>
      <c r="E15" s="13">
        <f t="array" ref="E15">MAX(IF(ISBLANK('K = 3'!J11:J61),"",IF('K = 3'!J11:J61&lt;=E14+$E1*(E14-E12),'K = 3'!J11:J61,"")))</f>
        <v>10144.492094017096</v>
      </c>
    </row>
    <row r="16" spans="1:8" x14ac:dyDescent="0.25">
      <c r="A16" t="s">
        <v>44</v>
      </c>
      <c r="B16">
        <f>COUNT('K = 3'!J11:J61)</f>
        <v>51</v>
      </c>
      <c r="D16" t="s">
        <v>32</v>
      </c>
      <c r="E16" s="15">
        <f>AVERAGE('K = 3'!J11:J61)</f>
        <v>-87.961282889223739</v>
      </c>
    </row>
    <row r="17" spans="1:5" x14ac:dyDescent="0.25">
      <c r="A17" t="s">
        <v>45</v>
      </c>
      <c r="B17" t="e">
        <f>GEOMEAN('K = 3'!J11:J61)</f>
        <v>#NUM!</v>
      </c>
    </row>
    <row r="18" spans="1:5" x14ac:dyDescent="0.25">
      <c r="A18" t="s">
        <v>46</v>
      </c>
      <c r="B18" t="e">
        <f>HARMEAN('K = 3'!J11:J61)</f>
        <v>#NUM!</v>
      </c>
      <c r="D18" t="s">
        <v>51</v>
      </c>
      <c r="E18" s="3">
        <f>IF(MIN(E11)&gt;=0,0,MIN(E11))</f>
        <v>-9199.3856837606781</v>
      </c>
    </row>
    <row r="19" spans="1:5" x14ac:dyDescent="0.25">
      <c r="A19" t="s">
        <v>47</v>
      </c>
      <c r="B19">
        <f>AVEDEV('K = 3'!J11:J61)</f>
        <v>3382.3598786791399</v>
      </c>
    </row>
    <row r="20" spans="1:5" x14ac:dyDescent="0.25">
      <c r="A20" t="s">
        <v>48</v>
      </c>
      <c r="B20">
        <f>[1]!MAD('K = 3'!J11:J61)</f>
        <v>2385.6444444444569</v>
      </c>
      <c r="D20" t="s">
        <v>52</v>
      </c>
      <c r="E20" t="s">
        <v>61</v>
      </c>
    </row>
    <row r="21" spans="1:5" x14ac:dyDescent="0.25">
      <c r="A21" s="5" t="s">
        <v>49</v>
      </c>
      <c r="B21" s="5">
        <f>[1]!IQR('K = 3'!J11:J61,FALSE)</f>
        <v>5151.033333333331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5D5AB-D665-478D-A89E-05598FE3DF4D}">
  <dimension ref="A1:J55"/>
  <sheetViews>
    <sheetView workbookViewId="0"/>
  </sheetViews>
  <sheetFormatPr defaultRowHeight="14.3" x14ac:dyDescent="0.25"/>
  <sheetData>
    <row r="1" spans="1:10" x14ac:dyDescent="0.25">
      <c r="A1" t="s">
        <v>21</v>
      </c>
      <c r="B1">
        <v>0</v>
      </c>
      <c r="D1" t="s">
        <v>24</v>
      </c>
      <c r="G1" t="s">
        <v>26</v>
      </c>
      <c r="I1" t="s">
        <v>7</v>
      </c>
    </row>
    <row r="2" spans="1:10" ht="14.95" thickBot="1" x14ac:dyDescent="0.3"/>
    <row r="3" spans="1:10" ht="14.95" thickTop="1" x14ac:dyDescent="0.25">
      <c r="A3" s="7" t="s">
        <v>22</v>
      </c>
      <c r="B3" s="7" t="s">
        <v>23</v>
      </c>
      <c r="D3" s="7" t="s">
        <v>25</v>
      </c>
      <c r="E3" s="7" t="s">
        <v>7</v>
      </c>
      <c r="G3" s="7" t="s">
        <v>27</v>
      </c>
      <c r="H3" s="7" t="s">
        <v>25</v>
      </c>
      <c r="I3" s="7" t="s">
        <v>28</v>
      </c>
      <c r="J3" s="7" t="s">
        <v>29</v>
      </c>
    </row>
    <row r="4" spans="1:10" x14ac:dyDescent="0.25">
      <c r="A4">
        <v>1</v>
      </c>
      <c r="B4">
        <f t="array" ref="B4:B55">[1]!ADIFF('K = 3'!J10:J61,B1)</f>
        <v>4486.0254273504252</v>
      </c>
      <c r="D4">
        <v>1</v>
      </c>
      <c r="E4">
        <f>[1]!ACF($B$4:$B$55,D4)</f>
        <v>0.24629916834975266</v>
      </c>
      <c r="G4" s="8" t="s">
        <v>30</v>
      </c>
      <c r="H4" s="8">
        <v>7</v>
      </c>
      <c r="I4" s="8">
        <f>[1]!LJUNG(B4:B55,0,H4)</f>
        <v>45.225470920459557</v>
      </c>
      <c r="J4" s="8">
        <f>_xlfn.CHISQ.DIST.RT(I4,H4)</f>
        <v>1.2364638426713994E-7</v>
      </c>
    </row>
    <row r="5" spans="1:10" x14ac:dyDescent="0.25">
      <c r="A5">
        <f>A4+1</f>
        <v>2</v>
      </c>
      <c r="B5">
        <v>2332.2587606837624</v>
      </c>
      <c r="D5">
        <f>D4+1</f>
        <v>2</v>
      </c>
      <c r="E5">
        <f>[1]!ACF($B$4:$B$55,D5)</f>
        <v>-0.43175517204733777</v>
      </c>
    </row>
    <row r="6" spans="1:10" x14ac:dyDescent="0.25">
      <c r="A6">
        <f t="shared" ref="A6:A55" si="0">A5+1</f>
        <v>3</v>
      </c>
      <c r="B6">
        <v>-4637.6301282051281</v>
      </c>
      <c r="D6">
        <f t="shared" ref="D6:D10" si="1">D5+1</f>
        <v>3</v>
      </c>
      <c r="E6">
        <f>[1]!ACF($B$4:$B$55,D6)</f>
        <v>-0.58590064242453632</v>
      </c>
    </row>
    <row r="7" spans="1:10" x14ac:dyDescent="0.25">
      <c r="A7">
        <f t="shared" si="0"/>
        <v>4</v>
      </c>
      <c r="B7">
        <v>-627.98568376068579</v>
      </c>
      <c r="D7">
        <f t="shared" si="1"/>
        <v>4</v>
      </c>
      <c r="E7">
        <f>[1]!ACF($B$4:$B$55,D7)</f>
        <v>-0.10255217896050861</v>
      </c>
    </row>
    <row r="8" spans="1:10" x14ac:dyDescent="0.25">
      <c r="A8">
        <f t="shared" si="0"/>
        <v>5</v>
      </c>
      <c r="B8">
        <v>-51.930128205145593</v>
      </c>
      <c r="D8">
        <f t="shared" si="1"/>
        <v>5</v>
      </c>
      <c r="E8">
        <f>[1]!ACF($B$4:$B$55,D8)</f>
        <v>0.25485888295932219</v>
      </c>
    </row>
    <row r="9" spans="1:10" x14ac:dyDescent="0.25">
      <c r="A9">
        <f t="shared" si="0"/>
        <v>6</v>
      </c>
      <c r="B9">
        <v>1216.7809829059734</v>
      </c>
      <c r="D9">
        <f t="shared" si="1"/>
        <v>6</v>
      </c>
      <c r="E9">
        <f>[1]!ACF($B$4:$B$55,D9)</f>
        <v>0.32538151979795704</v>
      </c>
    </row>
    <row r="10" spans="1:10" x14ac:dyDescent="0.25">
      <c r="A10">
        <f t="shared" si="0"/>
        <v>7</v>
      </c>
      <c r="B10">
        <v>2933.9254273504303</v>
      </c>
      <c r="D10" s="5">
        <f t="shared" si="1"/>
        <v>7</v>
      </c>
      <c r="E10" s="5">
        <f>[1]!ACF($B$4:$B$55,D10)</f>
        <v>0.11221607289128738</v>
      </c>
    </row>
    <row r="11" spans="1:10" x14ac:dyDescent="0.25">
      <c r="A11">
        <f t="shared" si="0"/>
        <v>8</v>
      </c>
      <c r="B11">
        <v>1564.6587606837638</v>
      </c>
    </row>
    <row r="12" spans="1:10" x14ac:dyDescent="0.25">
      <c r="A12">
        <f t="shared" si="0"/>
        <v>9</v>
      </c>
      <c r="B12">
        <v>225.38098290596099</v>
      </c>
    </row>
    <row r="13" spans="1:10" x14ac:dyDescent="0.25">
      <c r="A13">
        <f t="shared" si="0"/>
        <v>10</v>
      </c>
      <c r="B13">
        <v>-2229.3967948717982</v>
      </c>
    </row>
    <row r="14" spans="1:10" x14ac:dyDescent="0.25">
      <c r="A14">
        <f t="shared" si="0"/>
        <v>11</v>
      </c>
      <c r="B14">
        <v>-8103.6856837606865</v>
      </c>
    </row>
    <row r="15" spans="1:10" x14ac:dyDescent="0.25">
      <c r="A15">
        <f t="shared" si="0"/>
        <v>12</v>
      </c>
      <c r="B15">
        <v>582.23653846154411</v>
      </c>
    </row>
    <row r="16" spans="1:10" x14ac:dyDescent="0.25">
      <c r="A16">
        <f t="shared" si="0"/>
        <v>13</v>
      </c>
      <c r="B16">
        <v>1239.058760683758</v>
      </c>
    </row>
    <row r="17" spans="1:2" x14ac:dyDescent="0.25">
      <c r="A17">
        <f t="shared" si="0"/>
        <v>14</v>
      </c>
      <c r="B17">
        <v>5454.3254273504281</v>
      </c>
    </row>
    <row r="18" spans="1:2" x14ac:dyDescent="0.25">
      <c r="A18">
        <f t="shared" si="0"/>
        <v>15</v>
      </c>
      <c r="B18">
        <v>1010.5365384615507</v>
      </c>
    </row>
    <row r="19" spans="1:2" x14ac:dyDescent="0.25">
      <c r="A19">
        <f t="shared" si="0"/>
        <v>16</v>
      </c>
      <c r="B19">
        <v>1709.580982905969</v>
      </c>
    </row>
    <row r="20" spans="1:2" x14ac:dyDescent="0.25">
      <c r="A20">
        <f t="shared" si="0"/>
        <v>17</v>
      </c>
      <c r="B20">
        <v>-2314.3967948717873</v>
      </c>
    </row>
    <row r="21" spans="1:2" x14ac:dyDescent="0.25">
      <c r="A21">
        <f t="shared" si="0"/>
        <v>18</v>
      </c>
      <c r="B21">
        <v>2264.3143162393098</v>
      </c>
    </row>
    <row r="22" spans="1:2" x14ac:dyDescent="0.25">
      <c r="A22">
        <f t="shared" si="0"/>
        <v>19</v>
      </c>
      <c r="B22">
        <v>2168.3920940170974</v>
      </c>
    </row>
    <row r="23" spans="1:2" x14ac:dyDescent="0.25">
      <c r="A23">
        <f t="shared" si="0"/>
        <v>20</v>
      </c>
      <c r="B23">
        <v>-3076.4190170940128</v>
      </c>
    </row>
    <row r="24" spans="1:2" x14ac:dyDescent="0.25">
      <c r="A24">
        <f t="shared" si="0"/>
        <v>21</v>
      </c>
      <c r="B24">
        <v>-5999.9412393162384</v>
      </c>
    </row>
    <row r="25" spans="1:2" x14ac:dyDescent="0.25">
      <c r="A25">
        <f t="shared" si="0"/>
        <v>22</v>
      </c>
      <c r="B25">
        <v>-331.57457264956975</v>
      </c>
    </row>
    <row r="26" spans="1:2" x14ac:dyDescent="0.25">
      <c r="A26">
        <f t="shared" si="0"/>
        <v>23</v>
      </c>
      <c r="B26">
        <v>-69.407905982901866</v>
      </c>
    </row>
    <row r="27" spans="1:2" x14ac:dyDescent="0.25">
      <c r="A27">
        <f t="shared" si="0"/>
        <v>24</v>
      </c>
      <c r="B27">
        <v>26.714316239325854</v>
      </c>
    </row>
    <row r="28" spans="1:2" x14ac:dyDescent="0.25">
      <c r="A28">
        <f t="shared" si="0"/>
        <v>25</v>
      </c>
      <c r="B28">
        <v>5373.6476495726456</v>
      </c>
    </row>
    <row r="29" spans="1:2" x14ac:dyDescent="0.25">
      <c r="A29">
        <f t="shared" si="0"/>
        <v>26</v>
      </c>
      <c r="B29">
        <v>2818.125427350431</v>
      </c>
    </row>
    <row r="30" spans="1:2" x14ac:dyDescent="0.25">
      <c r="A30">
        <f t="shared" si="0"/>
        <v>27</v>
      </c>
      <c r="B30">
        <v>-3278.1967948717866</v>
      </c>
    </row>
    <row r="31" spans="1:2" x14ac:dyDescent="0.25">
      <c r="A31">
        <f t="shared" si="0"/>
        <v>28</v>
      </c>
      <c r="B31">
        <v>-6081.9967948717895</v>
      </c>
    </row>
    <row r="32" spans="1:2" x14ac:dyDescent="0.25">
      <c r="A32">
        <f t="shared" si="0"/>
        <v>29</v>
      </c>
      <c r="B32">
        <v>2410.1809829059785</v>
      </c>
    </row>
    <row r="33" spans="1:2" x14ac:dyDescent="0.25">
      <c r="A33">
        <f t="shared" si="0"/>
        <v>30</v>
      </c>
      <c r="B33">
        <v>4853.903205128212</v>
      </c>
    </row>
    <row r="34" spans="1:2" x14ac:dyDescent="0.25">
      <c r="A34">
        <f t="shared" si="0"/>
        <v>31</v>
      </c>
      <c r="B34">
        <v>3009.3698717948719</v>
      </c>
    </row>
    <row r="35" spans="1:2" x14ac:dyDescent="0.25">
      <c r="A35">
        <f t="shared" si="0"/>
        <v>32</v>
      </c>
      <c r="B35">
        <v>-1803.4079059829128</v>
      </c>
    </row>
    <row r="36" spans="1:2" x14ac:dyDescent="0.25">
      <c r="A36">
        <f t="shared" si="0"/>
        <v>33</v>
      </c>
      <c r="B36">
        <v>-3438.374572649569</v>
      </c>
    </row>
    <row r="37" spans="1:2" x14ac:dyDescent="0.25">
      <c r="A37">
        <f t="shared" si="0"/>
        <v>34</v>
      </c>
      <c r="B37">
        <v>-156.99679487179674</v>
      </c>
    </row>
    <row r="38" spans="1:2" x14ac:dyDescent="0.25">
      <c r="A38">
        <f t="shared" si="0"/>
        <v>35</v>
      </c>
      <c r="B38">
        <v>-7744.9856837606894</v>
      </c>
    </row>
    <row r="39" spans="1:2" x14ac:dyDescent="0.25">
      <c r="A39">
        <f t="shared" si="0"/>
        <v>36</v>
      </c>
      <c r="B39">
        <v>2501.0698717948835</v>
      </c>
    </row>
    <row r="40" spans="1:2" x14ac:dyDescent="0.25">
      <c r="A40">
        <f t="shared" si="0"/>
        <v>37</v>
      </c>
      <c r="B40">
        <v>4698.1920940171003</v>
      </c>
    </row>
    <row r="41" spans="1:2" x14ac:dyDescent="0.25">
      <c r="A41">
        <f t="shared" si="0"/>
        <v>38</v>
      </c>
      <c r="B41">
        <v>217.7920940171025</v>
      </c>
    </row>
    <row r="42" spans="1:2" x14ac:dyDescent="0.25">
      <c r="A42">
        <f t="shared" si="0"/>
        <v>39</v>
      </c>
      <c r="B42">
        <v>-8264.9190170940165</v>
      </c>
    </row>
    <row r="43" spans="1:2" x14ac:dyDescent="0.25">
      <c r="A43">
        <f t="shared" si="0"/>
        <v>40</v>
      </c>
      <c r="B43">
        <v>-4061.5856837606807</v>
      </c>
    </row>
    <row r="44" spans="1:2" x14ac:dyDescent="0.25">
      <c r="A44">
        <f t="shared" si="0"/>
        <v>41</v>
      </c>
      <c r="B44">
        <v>6347.7698717948733</v>
      </c>
    </row>
    <row r="45" spans="1:2" x14ac:dyDescent="0.25">
      <c r="A45">
        <f t="shared" si="0"/>
        <v>42</v>
      </c>
      <c r="B45">
        <v>10144.492094017096</v>
      </c>
    </row>
    <row r="46" spans="1:2" x14ac:dyDescent="0.25">
      <c r="A46">
        <f t="shared" si="0"/>
        <v>43</v>
      </c>
      <c r="B46">
        <v>2220.8476495726463</v>
      </c>
    </row>
    <row r="47" spans="1:2" x14ac:dyDescent="0.25">
      <c r="A47">
        <f t="shared" si="0"/>
        <v>44</v>
      </c>
      <c r="B47">
        <v>-9199.3856837606781</v>
      </c>
    </row>
    <row r="48" spans="1:2" x14ac:dyDescent="0.25">
      <c r="A48">
        <f t="shared" si="0"/>
        <v>45</v>
      </c>
      <c r="B48">
        <v>-6027.0745726495716</v>
      </c>
    </row>
    <row r="49" spans="1:2" x14ac:dyDescent="0.25">
      <c r="A49">
        <f t="shared" si="0"/>
        <v>46</v>
      </c>
      <c r="B49">
        <v>1385.6809829059803</v>
      </c>
    </row>
    <row r="50" spans="1:2" x14ac:dyDescent="0.25">
      <c r="A50">
        <f t="shared" si="0"/>
        <v>47</v>
      </c>
      <c r="B50">
        <v>4657.6920940170949</v>
      </c>
    </row>
    <row r="51" spans="1:2" x14ac:dyDescent="0.25">
      <c r="A51">
        <f t="shared" si="0"/>
        <v>48</v>
      </c>
      <c r="B51">
        <v>6898.7587606837587</v>
      </c>
    </row>
    <row r="52" spans="1:2" x14ac:dyDescent="0.25">
      <c r="A52">
        <f t="shared" si="0"/>
        <v>49</v>
      </c>
      <c r="B52">
        <v>832.51431623932513</v>
      </c>
    </row>
    <row r="53" spans="1:2" x14ac:dyDescent="0.25">
      <c r="A53">
        <f t="shared" si="0"/>
        <v>50</v>
      </c>
      <c r="B53">
        <v>-1855.3967948717946</v>
      </c>
    </row>
    <row r="54" spans="1:2" x14ac:dyDescent="0.25">
      <c r="A54">
        <f t="shared" si="0"/>
        <v>51</v>
      </c>
      <c r="B54">
        <v>-8776.0523504273569</v>
      </c>
    </row>
    <row r="55" spans="1:2" x14ac:dyDescent="0.25">
      <c r="A55" s="5">
        <f t="shared" si="0"/>
        <v>52</v>
      </c>
      <c r="B55" s="5">
        <v>2546.5143162393124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AA50F-7D38-43D7-8A77-7CAF654F2C48}">
  <dimension ref="A2:N73"/>
  <sheetViews>
    <sheetView workbookViewId="0">
      <selection activeCell="R24" sqref="R24"/>
    </sheetView>
  </sheetViews>
  <sheetFormatPr defaultRowHeight="14.3" x14ac:dyDescent="0.25"/>
  <cols>
    <col min="6" max="6" width="9.5" bestFit="1" customWidth="1"/>
    <col min="8" max="8" width="9.5" bestFit="1" customWidth="1"/>
    <col min="9" max="9" width="8.875" bestFit="1" customWidth="1"/>
  </cols>
  <sheetData>
    <row r="2" spans="1:14" x14ac:dyDescent="0.25">
      <c r="G2" s="6" t="s">
        <v>18</v>
      </c>
      <c r="H2" s="2">
        <f>AVERAGE(H14:H61)</f>
        <v>195.46312500000053</v>
      </c>
      <c r="J2" s="6" t="s">
        <v>67</v>
      </c>
      <c r="K2">
        <f>_xlfn.STDEV.S(J14:J61)</f>
        <v>3756.045884491281</v>
      </c>
      <c r="M2" s="6" t="s">
        <v>48</v>
      </c>
      <c r="N2">
        <f>AVERAGE(M14:M61)</f>
        <v>3066.0180416666649</v>
      </c>
    </row>
    <row r="4" spans="1:14" x14ac:dyDescent="0.25">
      <c r="A4" t="s">
        <v>4</v>
      </c>
      <c r="B4" s="6" t="s">
        <v>5</v>
      </c>
      <c r="C4" s="6" t="s">
        <v>12</v>
      </c>
      <c r="D4" s="6" t="s">
        <v>13</v>
      </c>
      <c r="E4" s="6" t="s">
        <v>15</v>
      </c>
      <c r="F4" s="6" t="s">
        <v>14</v>
      </c>
      <c r="G4" s="6" t="s">
        <v>16</v>
      </c>
      <c r="H4" s="6" t="s">
        <v>17</v>
      </c>
      <c r="I4" s="6" t="s">
        <v>19</v>
      </c>
      <c r="J4" s="6" t="s">
        <v>20</v>
      </c>
      <c r="K4" s="6" t="s">
        <v>68</v>
      </c>
      <c r="L4" s="6" t="s">
        <v>69</v>
      </c>
    </row>
    <row r="5" spans="1:14" x14ac:dyDescent="0.25">
      <c r="A5" s="1">
        <v>44378</v>
      </c>
      <c r="B5" s="2">
        <v>43439.7</v>
      </c>
    </row>
    <row r="6" spans="1:14" x14ac:dyDescent="0.25">
      <c r="A6" s="1">
        <v>44409</v>
      </c>
      <c r="B6" s="2">
        <v>42795.8</v>
      </c>
    </row>
    <row r="7" spans="1:14" x14ac:dyDescent="0.25">
      <c r="A7" s="1">
        <v>44440</v>
      </c>
      <c r="B7" s="2">
        <v>43575.4</v>
      </c>
      <c r="C7" s="2"/>
    </row>
    <row r="8" spans="1:14" x14ac:dyDescent="0.25">
      <c r="A8" s="1">
        <v>44470</v>
      </c>
      <c r="B8" s="2">
        <v>37323.9</v>
      </c>
      <c r="C8" s="2"/>
    </row>
    <row r="9" spans="1:14" x14ac:dyDescent="0.25">
      <c r="A9" s="1">
        <v>44501</v>
      </c>
      <c r="B9" s="2">
        <v>37760.800000000003</v>
      </c>
      <c r="C9" s="2">
        <f>AVERAGE(B5:B9)</f>
        <v>40979.119999999995</v>
      </c>
      <c r="D9" s="2"/>
      <c r="F9" s="2"/>
    </row>
    <row r="10" spans="1:14" x14ac:dyDescent="0.25">
      <c r="A10" s="1">
        <v>44531</v>
      </c>
      <c r="B10" s="2">
        <v>40536.5</v>
      </c>
      <c r="C10" s="2">
        <f t="shared" ref="C10:D61" si="0">AVERAGE(B6:B10)</f>
        <v>40398.480000000003</v>
      </c>
      <c r="D10" s="2"/>
      <c r="F10" s="2"/>
      <c r="G10" s="2"/>
      <c r="H10" s="2"/>
      <c r="I10" s="22"/>
      <c r="J10" s="2"/>
      <c r="K10" s="6"/>
      <c r="L10" s="6"/>
    </row>
    <row r="11" spans="1:14" x14ac:dyDescent="0.25">
      <c r="A11" s="1">
        <v>44562</v>
      </c>
      <c r="B11" s="2">
        <v>38497.1</v>
      </c>
      <c r="C11" s="2">
        <f t="shared" si="0"/>
        <v>39538.740000000005</v>
      </c>
      <c r="D11" s="2"/>
      <c r="F11" s="2"/>
      <c r="G11" s="2"/>
      <c r="H11" s="2"/>
      <c r="I11" s="22"/>
      <c r="J11" s="2"/>
      <c r="K11" s="6"/>
      <c r="L11" s="6"/>
    </row>
    <row r="12" spans="1:14" x14ac:dyDescent="0.25">
      <c r="A12" s="1">
        <v>44593</v>
      </c>
      <c r="B12" s="2">
        <v>34233.9</v>
      </c>
      <c r="C12" s="2">
        <f t="shared" si="0"/>
        <v>37670.44</v>
      </c>
      <c r="D12" s="2"/>
      <c r="F12" s="2"/>
      <c r="G12" s="2"/>
      <c r="H12" s="2"/>
      <c r="I12" s="22"/>
      <c r="J12" s="2"/>
      <c r="K12" s="6"/>
      <c r="L12" s="6"/>
    </row>
    <row r="13" spans="1:14" x14ac:dyDescent="0.25">
      <c r="A13" s="1">
        <v>44621</v>
      </c>
      <c r="B13" s="2">
        <v>35915</v>
      </c>
      <c r="C13" s="2">
        <f t="shared" si="0"/>
        <v>37388.659999999996</v>
      </c>
      <c r="D13" s="2">
        <f>AVERAGE(C9:C13)</f>
        <v>39195.088000000003</v>
      </c>
      <c r="E13">
        <f>2*C13-D13</f>
        <v>35582.231999999989</v>
      </c>
      <c r="F13" s="2">
        <f>(2/(5-1))*(C13-D13)</f>
        <v>-903.21400000000358</v>
      </c>
      <c r="G13" s="2"/>
      <c r="H13" s="2"/>
      <c r="I13" s="22"/>
      <c r="J13" s="2"/>
      <c r="K13" s="6"/>
      <c r="L13" s="6"/>
    </row>
    <row r="14" spans="1:14" x14ac:dyDescent="0.25">
      <c r="A14" s="1">
        <v>44652</v>
      </c>
      <c r="B14" s="2">
        <v>33419.599999999999</v>
      </c>
      <c r="C14" s="2">
        <f t="shared" si="0"/>
        <v>36520.42</v>
      </c>
      <c r="D14" s="2">
        <f t="shared" si="0"/>
        <v>38303.347999999998</v>
      </c>
      <c r="E14">
        <f t="shared" ref="E14:E61" si="1">2*C14-D14</f>
        <v>34737.491999999998</v>
      </c>
      <c r="F14" s="2">
        <f t="shared" ref="F14:F61" si="2">(2/(5-1))*(C14-D14)</f>
        <v>-891.46399999999994</v>
      </c>
      <c r="G14" s="2">
        <f>E13+F13</f>
        <v>34679.017999999982</v>
      </c>
      <c r="H14" s="2">
        <f t="shared" ref="H14:H61" si="3">B14-G14</f>
        <v>-1259.4179999999833</v>
      </c>
      <c r="I14" s="18">
        <f>G14+$H$2</f>
        <v>34874.481124999984</v>
      </c>
      <c r="J14" s="2">
        <f t="shared" ref="J14:J61" si="4">B14-I14</f>
        <v>-1454.8811249999853</v>
      </c>
      <c r="K14" s="19">
        <f>I14-1.96*$K$2</f>
        <v>27512.631191397071</v>
      </c>
      <c r="L14" s="19">
        <f>I14+1.96*$K$2</f>
        <v>42236.331058602897</v>
      </c>
      <c r="M14">
        <f>ABS(J14)</f>
        <v>1454.8811249999853</v>
      </c>
    </row>
    <row r="15" spans="1:14" x14ac:dyDescent="0.25">
      <c r="A15" s="1">
        <v>44682</v>
      </c>
      <c r="B15" s="2">
        <v>32549.9</v>
      </c>
      <c r="C15" s="2">
        <f t="shared" si="0"/>
        <v>34923.1</v>
      </c>
      <c r="D15" s="2">
        <f t="shared" si="0"/>
        <v>37208.272000000004</v>
      </c>
      <c r="E15">
        <f t="shared" si="1"/>
        <v>32637.927999999993</v>
      </c>
      <c r="F15" s="2">
        <f t="shared" si="2"/>
        <v>-1142.586000000003</v>
      </c>
      <c r="G15" s="2">
        <f t="shared" ref="G15:G61" si="5">E14+F14</f>
        <v>33846.027999999998</v>
      </c>
      <c r="H15" s="2">
        <f t="shared" si="3"/>
        <v>-1296.127999999997</v>
      </c>
      <c r="I15" s="18">
        <f t="shared" ref="I15:I72" si="6">G15+$H$2</f>
        <v>34041.491125</v>
      </c>
      <c r="J15" s="2">
        <f t="shared" si="4"/>
        <v>-1491.591124999999</v>
      </c>
      <c r="K15" s="19">
        <f t="shared" ref="K15:K61" si="7">I15-1.96*$K$2</f>
        <v>26679.641191397088</v>
      </c>
      <c r="L15" s="19">
        <f t="shared" ref="L15:L61" si="8">I15+1.96*$K$2</f>
        <v>41403.341058602913</v>
      </c>
      <c r="M15">
        <f t="shared" ref="M15:M62" si="9">ABS(J15)</f>
        <v>1491.591124999999</v>
      </c>
    </row>
    <row r="16" spans="1:14" x14ac:dyDescent="0.25">
      <c r="A16" s="1">
        <v>44713</v>
      </c>
      <c r="B16" s="2">
        <v>35112.6</v>
      </c>
      <c r="C16" s="2">
        <f t="shared" si="0"/>
        <v>34246.199999999997</v>
      </c>
      <c r="D16" s="2">
        <f t="shared" si="0"/>
        <v>36149.764000000003</v>
      </c>
      <c r="E16">
        <f t="shared" si="1"/>
        <v>32342.635999999991</v>
      </c>
      <c r="F16" s="2">
        <f t="shared" si="2"/>
        <v>-951.78200000000288</v>
      </c>
      <c r="G16" s="2">
        <f t="shared" si="5"/>
        <v>31495.34199999999</v>
      </c>
      <c r="H16" s="2">
        <f t="shared" si="3"/>
        <v>3617.2580000000089</v>
      </c>
      <c r="I16" s="18">
        <f t="shared" si="6"/>
        <v>31690.805124999992</v>
      </c>
      <c r="J16" s="2">
        <f t="shared" si="4"/>
        <v>3421.7948750000069</v>
      </c>
      <c r="K16" s="19">
        <f t="shared" si="7"/>
        <v>24328.955191397079</v>
      </c>
      <c r="L16" s="19">
        <f t="shared" si="8"/>
        <v>39052.655058602904</v>
      </c>
      <c r="M16">
        <f t="shared" si="9"/>
        <v>3421.7948750000069</v>
      </c>
    </row>
    <row r="17" spans="1:13" x14ac:dyDescent="0.25">
      <c r="A17" s="1">
        <v>44743</v>
      </c>
      <c r="B17" s="2">
        <v>34621.800000000003</v>
      </c>
      <c r="C17" s="2">
        <f t="shared" si="0"/>
        <v>34323.780000000006</v>
      </c>
      <c r="D17" s="2">
        <f t="shared" si="0"/>
        <v>35480.432000000001</v>
      </c>
      <c r="E17">
        <f t="shared" si="1"/>
        <v>33167.128000000012</v>
      </c>
      <c r="F17" s="2">
        <f t="shared" si="2"/>
        <v>-578.32599999999729</v>
      </c>
      <c r="G17" s="2">
        <f t="shared" si="5"/>
        <v>31390.853999999988</v>
      </c>
      <c r="H17" s="2">
        <f t="shared" si="3"/>
        <v>3230.9460000000145</v>
      </c>
      <c r="I17" s="18">
        <f t="shared" si="6"/>
        <v>31586.31712499999</v>
      </c>
      <c r="J17" s="2">
        <f t="shared" si="4"/>
        <v>3035.4828750000124</v>
      </c>
      <c r="K17" s="19">
        <f t="shared" si="7"/>
        <v>24224.467191397081</v>
      </c>
      <c r="L17" s="19">
        <f t="shared" si="8"/>
        <v>38948.167058602899</v>
      </c>
      <c r="M17">
        <f t="shared" si="9"/>
        <v>3035.4828750000124</v>
      </c>
    </row>
    <row r="18" spans="1:13" x14ac:dyDescent="0.25">
      <c r="A18" s="1">
        <v>44774</v>
      </c>
      <c r="B18" s="2">
        <v>34770.1</v>
      </c>
      <c r="C18" s="2">
        <f t="shared" si="0"/>
        <v>34094.800000000003</v>
      </c>
      <c r="D18" s="2">
        <f t="shared" si="0"/>
        <v>34821.659999999996</v>
      </c>
      <c r="E18">
        <f t="shared" si="1"/>
        <v>33367.94000000001</v>
      </c>
      <c r="F18" s="2">
        <f t="shared" si="2"/>
        <v>-363.42999999999665</v>
      </c>
      <c r="G18" s="2">
        <f t="shared" si="5"/>
        <v>32588.802000000014</v>
      </c>
      <c r="H18" s="2">
        <f t="shared" si="3"/>
        <v>2181.2979999999843</v>
      </c>
      <c r="I18" s="18">
        <f t="shared" si="6"/>
        <v>32784.265125000013</v>
      </c>
      <c r="J18" s="2">
        <f t="shared" si="4"/>
        <v>1985.8348749999859</v>
      </c>
      <c r="K18" s="19">
        <f t="shared" si="7"/>
        <v>25422.4151913971</v>
      </c>
      <c r="L18" s="19">
        <f t="shared" si="8"/>
        <v>40146.115058602925</v>
      </c>
      <c r="M18">
        <f t="shared" si="9"/>
        <v>1985.8348749999859</v>
      </c>
    </row>
    <row r="19" spans="1:13" x14ac:dyDescent="0.25">
      <c r="A19" s="1">
        <v>44805</v>
      </c>
      <c r="B19" s="2">
        <v>33953.300000000003</v>
      </c>
      <c r="C19" s="2">
        <f t="shared" si="0"/>
        <v>34201.54</v>
      </c>
      <c r="D19" s="2">
        <f t="shared" si="0"/>
        <v>34357.884000000005</v>
      </c>
      <c r="E19">
        <f t="shared" si="1"/>
        <v>34045.195999999996</v>
      </c>
      <c r="F19" s="2">
        <f t="shared" si="2"/>
        <v>-78.172000000002299</v>
      </c>
      <c r="G19" s="2">
        <f t="shared" si="5"/>
        <v>33004.510000000009</v>
      </c>
      <c r="H19" s="2">
        <f t="shared" si="3"/>
        <v>948.7899999999936</v>
      </c>
      <c r="I19" s="18">
        <f t="shared" si="6"/>
        <v>33199.973125000011</v>
      </c>
      <c r="J19" s="2">
        <f t="shared" si="4"/>
        <v>753.32687499999156</v>
      </c>
      <c r="K19" s="19">
        <f t="shared" si="7"/>
        <v>25838.123191397099</v>
      </c>
      <c r="L19" s="19">
        <f t="shared" si="8"/>
        <v>40561.823058602924</v>
      </c>
      <c r="M19">
        <f t="shared" si="9"/>
        <v>753.32687499999156</v>
      </c>
    </row>
    <row r="20" spans="1:13" x14ac:dyDescent="0.25">
      <c r="A20" s="1">
        <v>44835</v>
      </c>
      <c r="B20" s="2">
        <v>26416.799999999999</v>
      </c>
      <c r="C20" s="2">
        <f t="shared" si="0"/>
        <v>32974.92</v>
      </c>
      <c r="D20" s="2">
        <f t="shared" si="0"/>
        <v>33968.248</v>
      </c>
      <c r="E20">
        <f t="shared" si="1"/>
        <v>31981.591999999997</v>
      </c>
      <c r="F20" s="2">
        <f t="shared" si="2"/>
        <v>-496.66400000000067</v>
      </c>
      <c r="G20" s="2">
        <f t="shared" si="5"/>
        <v>33967.02399999999</v>
      </c>
      <c r="H20" s="2">
        <f t="shared" si="3"/>
        <v>-7550.2239999999911</v>
      </c>
      <c r="I20" s="18">
        <f t="shared" si="6"/>
        <v>34162.487124999992</v>
      </c>
      <c r="J20" s="2">
        <f t="shared" si="4"/>
        <v>-7745.6871249999931</v>
      </c>
      <c r="K20" s="19">
        <f t="shared" si="7"/>
        <v>26800.63719139708</v>
      </c>
      <c r="L20" s="19">
        <f t="shared" si="8"/>
        <v>41524.337058602905</v>
      </c>
      <c r="M20">
        <f t="shared" si="9"/>
        <v>7745.6871249999931</v>
      </c>
    </row>
    <row r="21" spans="1:13" x14ac:dyDescent="0.25">
      <c r="A21" s="1">
        <v>44866</v>
      </c>
      <c r="B21" s="2">
        <v>28485.3</v>
      </c>
      <c r="C21" s="2">
        <f t="shared" si="0"/>
        <v>31649.46</v>
      </c>
      <c r="D21" s="2">
        <f t="shared" si="0"/>
        <v>33448.900000000009</v>
      </c>
      <c r="E21">
        <f t="shared" si="1"/>
        <v>29850.01999999999</v>
      </c>
      <c r="F21" s="2">
        <f t="shared" si="2"/>
        <v>-899.7200000000048</v>
      </c>
      <c r="G21" s="2">
        <f t="shared" si="5"/>
        <v>31484.927999999996</v>
      </c>
      <c r="H21" s="2">
        <f t="shared" si="3"/>
        <v>-2999.627999999997</v>
      </c>
      <c r="I21" s="18">
        <f t="shared" si="6"/>
        <v>31680.391124999998</v>
      </c>
      <c r="J21" s="2">
        <f t="shared" si="4"/>
        <v>-3195.091124999999</v>
      </c>
      <c r="K21" s="19">
        <f t="shared" si="7"/>
        <v>24318.541191397089</v>
      </c>
      <c r="L21" s="19">
        <f t="shared" si="8"/>
        <v>39042.241058602907</v>
      </c>
      <c r="M21">
        <f t="shared" si="9"/>
        <v>3195.091124999999</v>
      </c>
    </row>
    <row r="22" spans="1:13" x14ac:dyDescent="0.25">
      <c r="A22" s="1">
        <v>44896</v>
      </c>
      <c r="B22" s="2">
        <v>26334.9</v>
      </c>
      <c r="C22" s="2">
        <f t="shared" si="0"/>
        <v>29992.079999999998</v>
      </c>
      <c r="D22" s="2">
        <f t="shared" si="0"/>
        <v>32582.559999999998</v>
      </c>
      <c r="E22">
        <f t="shared" si="1"/>
        <v>27401.599999999999</v>
      </c>
      <c r="F22" s="2">
        <f t="shared" si="2"/>
        <v>-1295.2399999999998</v>
      </c>
      <c r="G22" s="2">
        <f t="shared" si="5"/>
        <v>28950.299999999985</v>
      </c>
      <c r="H22" s="2">
        <f t="shared" si="3"/>
        <v>-2615.3999999999833</v>
      </c>
      <c r="I22" s="18">
        <f t="shared" si="6"/>
        <v>29145.763124999987</v>
      </c>
      <c r="J22" s="2">
        <f t="shared" si="4"/>
        <v>-2810.8631249999853</v>
      </c>
      <c r="K22" s="19">
        <f t="shared" si="7"/>
        <v>21783.913191397078</v>
      </c>
      <c r="L22" s="19">
        <f t="shared" si="8"/>
        <v>36507.613058602896</v>
      </c>
      <c r="M22">
        <f t="shared" si="9"/>
        <v>2810.8631249999853</v>
      </c>
    </row>
    <row r="23" spans="1:13" x14ac:dyDescent="0.25">
      <c r="A23" s="1">
        <v>44927</v>
      </c>
      <c r="B23" s="2">
        <v>27844.7</v>
      </c>
      <c r="C23" s="2">
        <f t="shared" si="0"/>
        <v>28607.000000000007</v>
      </c>
      <c r="D23" s="2">
        <f t="shared" si="0"/>
        <v>31485</v>
      </c>
      <c r="E23">
        <f t="shared" si="1"/>
        <v>25729.000000000015</v>
      </c>
      <c r="F23" s="2">
        <f t="shared" si="2"/>
        <v>-1438.9999999999964</v>
      </c>
      <c r="G23" s="2">
        <f t="shared" si="5"/>
        <v>26106.36</v>
      </c>
      <c r="H23" s="2">
        <f t="shared" si="3"/>
        <v>1738.3400000000001</v>
      </c>
      <c r="I23" s="18">
        <f t="shared" si="6"/>
        <v>26301.823125000003</v>
      </c>
      <c r="J23" s="2">
        <f t="shared" si="4"/>
        <v>1542.8768749999981</v>
      </c>
      <c r="K23" s="19">
        <f t="shared" si="7"/>
        <v>18939.97319139709</v>
      </c>
      <c r="L23" s="19">
        <f t="shared" si="8"/>
        <v>33663.673058602915</v>
      </c>
      <c r="M23">
        <f t="shared" si="9"/>
        <v>1542.8768749999981</v>
      </c>
    </row>
    <row r="24" spans="1:13" x14ac:dyDescent="0.25">
      <c r="A24" s="1">
        <v>44958</v>
      </c>
      <c r="B24" s="2">
        <v>27601.1</v>
      </c>
      <c r="C24" s="2">
        <f t="shared" si="0"/>
        <v>27336.559999999998</v>
      </c>
      <c r="D24" s="2">
        <f t="shared" si="0"/>
        <v>30112.003999999997</v>
      </c>
      <c r="E24">
        <f t="shared" si="1"/>
        <v>24561.115999999998</v>
      </c>
      <c r="F24" s="2">
        <f t="shared" si="2"/>
        <v>-1387.7219999999998</v>
      </c>
      <c r="G24" s="2">
        <f t="shared" si="5"/>
        <v>24290.000000000018</v>
      </c>
      <c r="H24" s="2">
        <f t="shared" si="3"/>
        <v>3311.0999999999804</v>
      </c>
      <c r="I24" s="18">
        <f t="shared" si="6"/>
        <v>24485.46312500002</v>
      </c>
      <c r="J24" s="2">
        <f t="shared" si="4"/>
        <v>3115.6368749999783</v>
      </c>
      <c r="K24" s="19">
        <f t="shared" si="7"/>
        <v>17123.613191397111</v>
      </c>
      <c r="L24" s="19">
        <f t="shared" si="8"/>
        <v>31847.313058602929</v>
      </c>
      <c r="M24">
        <f t="shared" si="9"/>
        <v>3115.6368749999783</v>
      </c>
    </row>
    <row r="25" spans="1:13" x14ac:dyDescent="0.25">
      <c r="A25" s="1">
        <v>44986</v>
      </c>
      <c r="B25" s="2">
        <v>28988.1</v>
      </c>
      <c r="C25" s="2">
        <f t="shared" si="0"/>
        <v>27850.82</v>
      </c>
      <c r="D25" s="2">
        <f t="shared" si="0"/>
        <v>29087.184000000001</v>
      </c>
      <c r="E25">
        <f t="shared" si="1"/>
        <v>26614.455999999998</v>
      </c>
      <c r="F25" s="2">
        <f t="shared" si="2"/>
        <v>-618.1820000000007</v>
      </c>
      <c r="G25" s="2">
        <f t="shared" si="5"/>
        <v>23173.394</v>
      </c>
      <c r="H25" s="2">
        <f t="shared" si="3"/>
        <v>5814.7059999999983</v>
      </c>
      <c r="I25" s="18">
        <f t="shared" si="6"/>
        <v>23368.857125000002</v>
      </c>
      <c r="J25" s="2">
        <f t="shared" si="4"/>
        <v>5619.2428749999963</v>
      </c>
      <c r="K25" s="19">
        <f t="shared" si="7"/>
        <v>16007.007191397091</v>
      </c>
      <c r="L25" s="19">
        <f t="shared" si="8"/>
        <v>30730.707058602915</v>
      </c>
      <c r="M25">
        <f t="shared" si="9"/>
        <v>5619.2428749999963</v>
      </c>
    </row>
    <row r="26" spans="1:13" x14ac:dyDescent="0.25">
      <c r="A26" s="1">
        <v>45017</v>
      </c>
      <c r="B26" s="2">
        <v>26906.9</v>
      </c>
      <c r="C26" s="2">
        <f t="shared" si="0"/>
        <v>27535.140000000003</v>
      </c>
      <c r="D26" s="2">
        <f t="shared" si="0"/>
        <v>28264.32</v>
      </c>
      <c r="E26">
        <f t="shared" si="1"/>
        <v>26805.960000000006</v>
      </c>
      <c r="F26" s="2">
        <f t="shared" si="2"/>
        <v>-364.58999999999833</v>
      </c>
      <c r="G26" s="2">
        <f t="shared" si="5"/>
        <v>25996.273999999998</v>
      </c>
      <c r="H26" s="2">
        <f t="shared" si="3"/>
        <v>910.62600000000384</v>
      </c>
      <c r="I26" s="18">
        <f t="shared" si="6"/>
        <v>26191.737125</v>
      </c>
      <c r="J26" s="2">
        <f t="shared" si="4"/>
        <v>715.1628750000018</v>
      </c>
      <c r="K26" s="19">
        <f t="shared" si="7"/>
        <v>18829.887191397087</v>
      </c>
      <c r="L26" s="19">
        <f t="shared" si="8"/>
        <v>33553.587058602912</v>
      </c>
      <c r="M26">
        <f t="shared" si="9"/>
        <v>715.1628750000018</v>
      </c>
    </row>
    <row r="27" spans="1:13" x14ac:dyDescent="0.25">
      <c r="A27" s="1">
        <v>45047</v>
      </c>
      <c r="B27" s="2">
        <v>30363.1</v>
      </c>
      <c r="C27" s="2">
        <f t="shared" si="0"/>
        <v>28340.78</v>
      </c>
      <c r="D27" s="2">
        <f t="shared" si="0"/>
        <v>27934.059999999998</v>
      </c>
      <c r="E27">
        <f t="shared" si="1"/>
        <v>28747.5</v>
      </c>
      <c r="F27" s="2">
        <f t="shared" si="2"/>
        <v>203.36000000000058</v>
      </c>
      <c r="G27" s="2">
        <f t="shared" si="5"/>
        <v>26441.37000000001</v>
      </c>
      <c r="H27" s="2">
        <f t="shared" si="3"/>
        <v>3921.7299999999886</v>
      </c>
      <c r="I27" s="18">
        <f t="shared" si="6"/>
        <v>26636.833125000012</v>
      </c>
      <c r="J27" s="2">
        <f t="shared" si="4"/>
        <v>3726.2668749999866</v>
      </c>
      <c r="K27" s="19">
        <f t="shared" si="7"/>
        <v>19274.983191397099</v>
      </c>
      <c r="L27" s="19">
        <f t="shared" si="8"/>
        <v>33998.683058602925</v>
      </c>
      <c r="M27">
        <f t="shared" si="9"/>
        <v>3726.2668749999866</v>
      </c>
    </row>
    <row r="28" spans="1:13" x14ac:dyDescent="0.25">
      <c r="A28" s="1">
        <v>45078</v>
      </c>
      <c r="B28" s="2">
        <v>32034.2</v>
      </c>
      <c r="C28" s="2">
        <f t="shared" si="0"/>
        <v>29178.680000000004</v>
      </c>
      <c r="D28" s="2">
        <f t="shared" si="0"/>
        <v>28048.396000000001</v>
      </c>
      <c r="E28">
        <f t="shared" si="1"/>
        <v>30308.964000000007</v>
      </c>
      <c r="F28" s="2">
        <f t="shared" si="2"/>
        <v>565.14200000000164</v>
      </c>
      <c r="G28" s="2">
        <f t="shared" si="5"/>
        <v>28950.86</v>
      </c>
      <c r="H28" s="2">
        <f t="shared" si="3"/>
        <v>3083.34</v>
      </c>
      <c r="I28" s="18">
        <f t="shared" si="6"/>
        <v>29146.323125000003</v>
      </c>
      <c r="J28" s="2">
        <f t="shared" si="4"/>
        <v>2887.8768749999981</v>
      </c>
      <c r="K28" s="19">
        <f t="shared" si="7"/>
        <v>21784.47319139709</v>
      </c>
      <c r="L28" s="19">
        <f t="shared" si="8"/>
        <v>36508.173058602915</v>
      </c>
      <c r="M28">
        <f t="shared" si="9"/>
        <v>2887.8768749999981</v>
      </c>
    </row>
    <row r="29" spans="1:13" x14ac:dyDescent="0.25">
      <c r="A29" s="1">
        <v>45108</v>
      </c>
      <c r="B29" s="2">
        <v>28753.200000000001</v>
      </c>
      <c r="C29" s="2">
        <f t="shared" si="0"/>
        <v>29409.1</v>
      </c>
      <c r="D29" s="2">
        <f t="shared" si="0"/>
        <v>28462.904000000002</v>
      </c>
      <c r="E29">
        <f t="shared" si="1"/>
        <v>30355.295999999995</v>
      </c>
      <c r="F29" s="2">
        <f t="shared" si="2"/>
        <v>473.09799999999814</v>
      </c>
      <c r="G29" s="2">
        <f t="shared" si="5"/>
        <v>30874.106000000007</v>
      </c>
      <c r="H29" s="2">
        <f t="shared" si="3"/>
        <v>-2120.9060000000063</v>
      </c>
      <c r="I29" s="18">
        <f t="shared" si="6"/>
        <v>31069.569125000009</v>
      </c>
      <c r="J29" s="2">
        <f t="shared" si="4"/>
        <v>-2316.3691250000084</v>
      </c>
      <c r="K29" s="19">
        <f t="shared" si="7"/>
        <v>23707.719191397096</v>
      </c>
      <c r="L29" s="19">
        <f t="shared" si="8"/>
        <v>38431.419058602922</v>
      </c>
      <c r="M29">
        <f t="shared" si="9"/>
        <v>2316.3691250000084</v>
      </c>
    </row>
    <row r="30" spans="1:13" x14ac:dyDescent="0.25">
      <c r="A30" s="1">
        <v>45139</v>
      </c>
      <c r="B30" s="2">
        <v>25975</v>
      </c>
      <c r="C30" s="2">
        <f t="shared" si="0"/>
        <v>28806.48</v>
      </c>
      <c r="D30" s="2">
        <f t="shared" si="0"/>
        <v>28654.036000000004</v>
      </c>
      <c r="E30">
        <f t="shared" si="1"/>
        <v>28958.923999999995</v>
      </c>
      <c r="F30" s="2">
        <f t="shared" si="2"/>
        <v>76.221999999997934</v>
      </c>
      <c r="G30" s="2">
        <f t="shared" si="5"/>
        <v>30828.393999999993</v>
      </c>
      <c r="H30" s="2">
        <f t="shared" si="3"/>
        <v>-4853.393999999993</v>
      </c>
      <c r="I30" s="18">
        <f t="shared" si="6"/>
        <v>31023.857124999995</v>
      </c>
      <c r="J30" s="2">
        <f t="shared" si="4"/>
        <v>-5048.857124999995</v>
      </c>
      <c r="K30" s="19">
        <f t="shared" si="7"/>
        <v>23662.007191397082</v>
      </c>
      <c r="L30" s="19">
        <f t="shared" si="8"/>
        <v>38385.707058602908</v>
      </c>
      <c r="M30">
        <f t="shared" si="9"/>
        <v>5048.857124999995</v>
      </c>
    </row>
    <row r="31" spans="1:13" x14ac:dyDescent="0.25">
      <c r="A31" s="1">
        <v>45170</v>
      </c>
      <c r="B31" s="2">
        <v>27143.200000000001</v>
      </c>
      <c r="C31" s="2">
        <f t="shared" si="0"/>
        <v>28853.74</v>
      </c>
      <c r="D31" s="2">
        <f t="shared" si="0"/>
        <v>28917.756000000001</v>
      </c>
      <c r="E31">
        <f t="shared" si="1"/>
        <v>28789.724000000002</v>
      </c>
      <c r="F31" s="2">
        <f t="shared" si="2"/>
        <v>-32.007999999999811</v>
      </c>
      <c r="G31" s="2">
        <f t="shared" si="5"/>
        <v>29035.145999999993</v>
      </c>
      <c r="H31" s="2">
        <f t="shared" si="3"/>
        <v>-1891.9459999999926</v>
      </c>
      <c r="I31" s="18">
        <f t="shared" si="6"/>
        <v>29230.609124999995</v>
      </c>
      <c r="J31" s="2">
        <f t="shared" si="4"/>
        <v>-2087.4091249999947</v>
      </c>
      <c r="K31" s="19">
        <f t="shared" si="7"/>
        <v>21868.759191397083</v>
      </c>
      <c r="L31" s="19">
        <f t="shared" si="8"/>
        <v>36592.459058602908</v>
      </c>
      <c r="M31">
        <f t="shared" si="9"/>
        <v>2087.4091249999947</v>
      </c>
    </row>
    <row r="32" spans="1:13" x14ac:dyDescent="0.25">
      <c r="A32" s="1">
        <v>45200</v>
      </c>
      <c r="B32" s="2">
        <v>24166.1</v>
      </c>
      <c r="C32" s="2">
        <f t="shared" si="0"/>
        <v>27614.339999999997</v>
      </c>
      <c r="D32" s="2">
        <f t="shared" si="0"/>
        <v>28772.468000000001</v>
      </c>
      <c r="E32">
        <f t="shared" si="1"/>
        <v>26456.211999999992</v>
      </c>
      <c r="F32" s="2">
        <f t="shared" si="2"/>
        <v>-579.06400000000212</v>
      </c>
      <c r="G32" s="2">
        <f t="shared" si="5"/>
        <v>28757.716</v>
      </c>
      <c r="H32" s="2">
        <f t="shared" si="3"/>
        <v>-4591.6160000000018</v>
      </c>
      <c r="I32" s="18">
        <f t="shared" si="6"/>
        <v>28953.179125000002</v>
      </c>
      <c r="J32" s="2">
        <f t="shared" si="4"/>
        <v>-4787.0791250000038</v>
      </c>
      <c r="K32" s="19">
        <f t="shared" si="7"/>
        <v>21591.32919139709</v>
      </c>
      <c r="L32" s="19">
        <f t="shared" si="8"/>
        <v>36315.029058602915</v>
      </c>
      <c r="M32">
        <f t="shared" si="9"/>
        <v>4787.0791250000038</v>
      </c>
    </row>
    <row r="33" spans="1:13" x14ac:dyDescent="0.25">
      <c r="A33" s="1">
        <v>45231</v>
      </c>
      <c r="B33" s="2">
        <v>22756.5</v>
      </c>
      <c r="C33" s="2">
        <f t="shared" si="0"/>
        <v>25758.799999999999</v>
      </c>
      <c r="D33" s="2">
        <f t="shared" si="0"/>
        <v>28088.491999999998</v>
      </c>
      <c r="E33">
        <f t="shared" si="1"/>
        <v>23429.108</v>
      </c>
      <c r="F33" s="2">
        <f t="shared" si="2"/>
        <v>-1164.8459999999995</v>
      </c>
      <c r="G33" s="2">
        <f t="shared" si="5"/>
        <v>25877.14799999999</v>
      </c>
      <c r="H33" s="2">
        <f t="shared" si="3"/>
        <v>-3120.6479999999901</v>
      </c>
      <c r="I33" s="18">
        <f t="shared" si="6"/>
        <v>26072.611124999992</v>
      </c>
      <c r="J33" s="2">
        <f t="shared" si="4"/>
        <v>-3316.1111249999922</v>
      </c>
      <c r="K33" s="19">
        <f t="shared" si="7"/>
        <v>18710.761191397083</v>
      </c>
      <c r="L33" s="19">
        <f t="shared" si="8"/>
        <v>33434.461058602901</v>
      </c>
      <c r="M33">
        <f t="shared" si="9"/>
        <v>3316.1111249999922</v>
      </c>
    </row>
    <row r="34" spans="1:13" x14ac:dyDescent="0.25">
      <c r="A34" s="1">
        <v>45261</v>
      </c>
      <c r="B34" s="2">
        <v>27706.400000000001</v>
      </c>
      <c r="C34" s="2">
        <f t="shared" si="0"/>
        <v>25549.439999999995</v>
      </c>
      <c r="D34" s="2">
        <f t="shared" si="0"/>
        <v>27316.559999999998</v>
      </c>
      <c r="E34">
        <f t="shared" si="1"/>
        <v>23782.319999999992</v>
      </c>
      <c r="F34" s="2">
        <f t="shared" si="2"/>
        <v>-883.56000000000131</v>
      </c>
      <c r="G34" s="2">
        <f t="shared" si="5"/>
        <v>22264.262000000002</v>
      </c>
      <c r="H34" s="2">
        <f t="shared" si="3"/>
        <v>5442.137999999999</v>
      </c>
      <c r="I34" s="18">
        <f t="shared" si="6"/>
        <v>22459.725125000004</v>
      </c>
      <c r="J34" s="2">
        <f t="shared" si="4"/>
        <v>5246.674874999997</v>
      </c>
      <c r="K34" s="19">
        <f t="shared" si="7"/>
        <v>15097.875191397094</v>
      </c>
      <c r="L34" s="19">
        <f t="shared" si="8"/>
        <v>29821.575058602917</v>
      </c>
      <c r="M34">
        <f t="shared" si="9"/>
        <v>5246.674874999997</v>
      </c>
    </row>
    <row r="35" spans="1:13" x14ac:dyDescent="0.25">
      <c r="A35" s="1">
        <v>45292</v>
      </c>
      <c r="B35" s="2">
        <v>27323.5</v>
      </c>
      <c r="C35" s="2">
        <f t="shared" si="0"/>
        <v>25819.140000000003</v>
      </c>
      <c r="D35" s="2">
        <f t="shared" si="0"/>
        <v>26719.092000000004</v>
      </c>
      <c r="E35">
        <f t="shared" si="1"/>
        <v>24919.188000000002</v>
      </c>
      <c r="F35" s="2">
        <f t="shared" si="2"/>
        <v>-449.97600000000057</v>
      </c>
      <c r="G35" s="2">
        <f t="shared" si="5"/>
        <v>22898.759999999991</v>
      </c>
      <c r="H35" s="2">
        <f t="shared" si="3"/>
        <v>4424.7400000000089</v>
      </c>
      <c r="I35" s="18">
        <f t="shared" si="6"/>
        <v>23094.223124999993</v>
      </c>
      <c r="J35" s="2">
        <f t="shared" si="4"/>
        <v>4229.2768750000068</v>
      </c>
      <c r="K35" s="19">
        <f t="shared" si="7"/>
        <v>15732.373191397082</v>
      </c>
      <c r="L35" s="19">
        <f t="shared" si="8"/>
        <v>30456.073058602902</v>
      </c>
      <c r="M35">
        <f t="shared" si="9"/>
        <v>4229.2768750000068</v>
      </c>
    </row>
    <row r="36" spans="1:13" x14ac:dyDescent="0.25">
      <c r="A36" s="1">
        <v>45323</v>
      </c>
      <c r="B36" s="2">
        <v>24273</v>
      </c>
      <c r="C36" s="2">
        <f t="shared" si="0"/>
        <v>25245.1</v>
      </c>
      <c r="D36" s="2">
        <f t="shared" si="0"/>
        <v>25997.363999999994</v>
      </c>
      <c r="E36">
        <f t="shared" si="1"/>
        <v>24492.836000000003</v>
      </c>
      <c r="F36" s="2">
        <f t="shared" si="2"/>
        <v>-376.13199999999779</v>
      </c>
      <c r="G36" s="2">
        <f t="shared" si="5"/>
        <v>24469.212</v>
      </c>
      <c r="H36" s="2">
        <f t="shared" si="3"/>
        <v>-196.21199999999953</v>
      </c>
      <c r="I36" s="18">
        <f t="shared" si="6"/>
        <v>24664.675125000002</v>
      </c>
      <c r="J36" s="2">
        <f t="shared" si="4"/>
        <v>-391.67512500000157</v>
      </c>
      <c r="K36" s="19">
        <f t="shared" si="7"/>
        <v>17302.825191397089</v>
      </c>
      <c r="L36" s="19">
        <f t="shared" si="8"/>
        <v>32026.525058602914</v>
      </c>
      <c r="M36">
        <f t="shared" si="9"/>
        <v>391.67512500000157</v>
      </c>
    </row>
    <row r="37" spans="1:13" x14ac:dyDescent="0.25">
      <c r="A37" s="1">
        <v>45352</v>
      </c>
      <c r="B37" s="2">
        <v>21821.9</v>
      </c>
      <c r="C37" s="2">
        <f t="shared" si="0"/>
        <v>24776.26</v>
      </c>
      <c r="D37" s="2">
        <f t="shared" si="0"/>
        <v>25429.747999999996</v>
      </c>
      <c r="E37">
        <f t="shared" si="1"/>
        <v>24122.772000000001</v>
      </c>
      <c r="F37" s="2">
        <f t="shared" si="2"/>
        <v>-326.74399999999878</v>
      </c>
      <c r="G37" s="2">
        <f t="shared" si="5"/>
        <v>24116.704000000005</v>
      </c>
      <c r="H37" s="2">
        <f t="shared" si="3"/>
        <v>-2294.8040000000037</v>
      </c>
      <c r="I37" s="18">
        <f t="shared" si="6"/>
        <v>24312.167125000007</v>
      </c>
      <c r="J37" s="2">
        <f t="shared" si="4"/>
        <v>-2490.2671250000058</v>
      </c>
      <c r="K37" s="19">
        <f t="shared" si="7"/>
        <v>16950.317191397095</v>
      </c>
      <c r="L37" s="19">
        <f t="shared" si="8"/>
        <v>31674.01705860292</v>
      </c>
      <c r="M37">
        <f t="shared" si="9"/>
        <v>2490.2671250000058</v>
      </c>
    </row>
    <row r="38" spans="1:13" x14ac:dyDescent="0.25">
      <c r="A38" s="1">
        <v>45383</v>
      </c>
      <c r="B38" s="2">
        <v>24698.6</v>
      </c>
      <c r="C38" s="2">
        <f t="shared" si="0"/>
        <v>25164.68</v>
      </c>
      <c r="D38" s="2">
        <f t="shared" si="0"/>
        <v>25310.923999999999</v>
      </c>
      <c r="E38">
        <f t="shared" si="1"/>
        <v>25018.436000000002</v>
      </c>
      <c r="F38" s="2">
        <f t="shared" si="2"/>
        <v>-73.121999999999389</v>
      </c>
      <c r="G38" s="2">
        <f t="shared" si="5"/>
        <v>23796.028000000002</v>
      </c>
      <c r="H38" s="2">
        <f t="shared" si="3"/>
        <v>902.57199999999648</v>
      </c>
      <c r="I38" s="18">
        <f t="shared" si="6"/>
        <v>23991.491125000004</v>
      </c>
      <c r="J38" s="2">
        <f t="shared" si="4"/>
        <v>707.10887499999444</v>
      </c>
      <c r="K38" s="19">
        <f t="shared" si="7"/>
        <v>16629.641191397095</v>
      </c>
      <c r="L38" s="19">
        <f t="shared" si="8"/>
        <v>31353.341058602913</v>
      </c>
      <c r="M38">
        <f t="shared" si="9"/>
        <v>707.10887499999444</v>
      </c>
    </row>
    <row r="39" spans="1:13" x14ac:dyDescent="0.25">
      <c r="A39" s="1">
        <v>45413</v>
      </c>
      <c r="B39" s="2">
        <v>26071.4</v>
      </c>
      <c r="C39" s="2">
        <f t="shared" si="0"/>
        <v>24837.68</v>
      </c>
      <c r="D39" s="2">
        <f t="shared" si="0"/>
        <v>25168.571999999996</v>
      </c>
      <c r="E39">
        <f t="shared" si="1"/>
        <v>24506.788000000004</v>
      </c>
      <c r="F39" s="2">
        <f t="shared" si="2"/>
        <v>-165.44599999999809</v>
      </c>
      <c r="G39" s="2">
        <f t="shared" si="5"/>
        <v>24945.314000000002</v>
      </c>
      <c r="H39" s="2">
        <f t="shared" si="3"/>
        <v>1126.0859999999993</v>
      </c>
      <c r="I39" s="18">
        <f t="shared" si="6"/>
        <v>25140.777125000004</v>
      </c>
      <c r="J39" s="2">
        <f t="shared" si="4"/>
        <v>930.62287499999729</v>
      </c>
      <c r="K39" s="19">
        <f t="shared" si="7"/>
        <v>17778.927191397095</v>
      </c>
      <c r="L39" s="19">
        <f t="shared" si="8"/>
        <v>32502.627058602913</v>
      </c>
      <c r="M39">
        <f t="shared" si="9"/>
        <v>930.62287499999729</v>
      </c>
    </row>
    <row r="40" spans="1:13" x14ac:dyDescent="0.25">
      <c r="A40" s="1">
        <v>45444</v>
      </c>
      <c r="B40" s="2">
        <v>27516.6</v>
      </c>
      <c r="C40" s="2">
        <f t="shared" si="0"/>
        <v>24876.3</v>
      </c>
      <c r="D40" s="2">
        <f t="shared" si="0"/>
        <v>24980.004000000001</v>
      </c>
      <c r="E40">
        <f t="shared" si="1"/>
        <v>24772.595999999998</v>
      </c>
      <c r="F40" s="2">
        <f t="shared" si="2"/>
        <v>-51.852000000000771</v>
      </c>
      <c r="G40" s="2">
        <f t="shared" si="5"/>
        <v>24341.342000000004</v>
      </c>
      <c r="H40" s="2">
        <f t="shared" si="3"/>
        <v>3175.2579999999944</v>
      </c>
      <c r="I40" s="18">
        <f t="shared" si="6"/>
        <v>24536.805125000006</v>
      </c>
      <c r="J40" s="2">
        <f t="shared" si="4"/>
        <v>2979.7948749999923</v>
      </c>
      <c r="K40" s="19">
        <f t="shared" si="7"/>
        <v>17174.955191397094</v>
      </c>
      <c r="L40" s="19">
        <f t="shared" si="8"/>
        <v>31898.655058602919</v>
      </c>
      <c r="M40">
        <f t="shared" si="9"/>
        <v>2979.7948749999923</v>
      </c>
    </row>
    <row r="41" spans="1:13" x14ac:dyDescent="0.25">
      <c r="A41" s="1">
        <v>45474</v>
      </c>
      <c r="B41" s="2">
        <v>27316.7</v>
      </c>
      <c r="C41" s="2">
        <f t="shared" si="0"/>
        <v>25485.040000000001</v>
      </c>
      <c r="D41" s="2">
        <f t="shared" si="0"/>
        <v>25027.991999999998</v>
      </c>
      <c r="E41">
        <f t="shared" si="1"/>
        <v>25942.088000000003</v>
      </c>
      <c r="F41" s="2">
        <f t="shared" si="2"/>
        <v>228.52400000000125</v>
      </c>
      <c r="G41" s="2">
        <f t="shared" si="5"/>
        <v>24720.743999999999</v>
      </c>
      <c r="H41" s="2">
        <f t="shared" si="3"/>
        <v>2595.9560000000019</v>
      </c>
      <c r="I41" s="18">
        <f t="shared" si="6"/>
        <v>24916.207125000001</v>
      </c>
      <c r="J41" s="2">
        <f t="shared" si="4"/>
        <v>2400.4928749999999</v>
      </c>
      <c r="K41" s="19">
        <f t="shared" si="7"/>
        <v>17554.357191397088</v>
      </c>
      <c r="L41" s="19">
        <f t="shared" si="8"/>
        <v>32278.057058602913</v>
      </c>
      <c r="M41">
        <f t="shared" si="9"/>
        <v>2400.4928749999999</v>
      </c>
    </row>
    <row r="42" spans="1:13" x14ac:dyDescent="0.25">
      <c r="A42" s="1">
        <v>45505</v>
      </c>
      <c r="B42" s="2">
        <v>26052.9</v>
      </c>
      <c r="C42" s="2">
        <f t="shared" si="0"/>
        <v>26331.24</v>
      </c>
      <c r="D42" s="2">
        <f t="shared" si="0"/>
        <v>25338.988000000005</v>
      </c>
      <c r="E42">
        <f t="shared" si="1"/>
        <v>27323.491999999998</v>
      </c>
      <c r="F42" s="2">
        <f t="shared" si="2"/>
        <v>496.12599999999838</v>
      </c>
      <c r="G42" s="2">
        <f t="shared" si="5"/>
        <v>26170.612000000005</v>
      </c>
      <c r="H42" s="2">
        <f t="shared" si="3"/>
        <v>-117.71200000000317</v>
      </c>
      <c r="I42" s="18">
        <f t="shared" si="6"/>
        <v>26366.075125000007</v>
      </c>
      <c r="J42" s="2">
        <f t="shared" si="4"/>
        <v>-313.17512500000521</v>
      </c>
      <c r="K42" s="19">
        <f t="shared" si="7"/>
        <v>19004.225191397098</v>
      </c>
      <c r="L42" s="19">
        <f t="shared" si="8"/>
        <v>33727.925058602916</v>
      </c>
      <c r="M42">
        <f t="shared" si="9"/>
        <v>313.17512500000521</v>
      </c>
    </row>
    <row r="43" spans="1:13" x14ac:dyDescent="0.25">
      <c r="A43" s="1">
        <v>45536</v>
      </c>
      <c r="B43" s="2">
        <v>27472.6</v>
      </c>
      <c r="C43" s="2">
        <f t="shared" si="0"/>
        <v>26886.04</v>
      </c>
      <c r="D43" s="2">
        <f t="shared" si="0"/>
        <v>25683.26</v>
      </c>
      <c r="E43">
        <f t="shared" si="1"/>
        <v>28088.820000000003</v>
      </c>
      <c r="F43" s="2">
        <f t="shared" si="2"/>
        <v>601.39000000000124</v>
      </c>
      <c r="G43" s="2">
        <f t="shared" si="5"/>
        <v>27819.617999999995</v>
      </c>
      <c r="H43" s="2">
        <f t="shared" si="3"/>
        <v>-347.01799999999639</v>
      </c>
      <c r="I43" s="18">
        <f t="shared" si="6"/>
        <v>28015.081124999997</v>
      </c>
      <c r="J43" s="2">
        <f t="shared" si="4"/>
        <v>-542.48112499999843</v>
      </c>
      <c r="K43" s="19">
        <f t="shared" si="7"/>
        <v>20653.231191397084</v>
      </c>
      <c r="L43" s="19">
        <f t="shared" si="8"/>
        <v>35376.93105860291</v>
      </c>
      <c r="M43">
        <f t="shared" si="9"/>
        <v>542.48112499999843</v>
      </c>
    </row>
    <row r="44" spans="1:13" x14ac:dyDescent="0.25">
      <c r="A44" s="1">
        <v>45566</v>
      </c>
      <c r="B44" s="2">
        <v>19272.7</v>
      </c>
      <c r="C44" s="2">
        <f t="shared" si="0"/>
        <v>25526.300000000003</v>
      </c>
      <c r="D44" s="2">
        <f t="shared" si="0"/>
        <v>25820.984</v>
      </c>
      <c r="E44">
        <f t="shared" si="1"/>
        <v>25231.616000000005</v>
      </c>
      <c r="F44" s="2">
        <f t="shared" si="2"/>
        <v>-147.34199999999873</v>
      </c>
      <c r="G44" s="2">
        <f t="shared" si="5"/>
        <v>28690.210000000006</v>
      </c>
      <c r="H44" s="2">
        <f t="shared" si="3"/>
        <v>-9417.5100000000057</v>
      </c>
      <c r="I44" s="18">
        <f t="shared" si="6"/>
        <v>28885.673125000008</v>
      </c>
      <c r="J44" s="2">
        <f t="shared" si="4"/>
        <v>-9612.9731250000077</v>
      </c>
      <c r="K44" s="19">
        <f t="shared" si="7"/>
        <v>21523.823191397096</v>
      </c>
      <c r="L44" s="19">
        <f t="shared" si="8"/>
        <v>36247.523058602921</v>
      </c>
      <c r="M44">
        <f t="shared" si="9"/>
        <v>9612.9731250000077</v>
      </c>
    </row>
    <row r="45" spans="1:13" x14ac:dyDescent="0.25">
      <c r="A45" s="1">
        <v>45597</v>
      </c>
      <c r="B45" s="2">
        <v>23276.2</v>
      </c>
      <c r="C45" s="2">
        <f t="shared" si="0"/>
        <v>24678.22</v>
      </c>
      <c r="D45" s="2">
        <f t="shared" si="0"/>
        <v>25781.368000000002</v>
      </c>
      <c r="E45">
        <f t="shared" si="1"/>
        <v>23575.072</v>
      </c>
      <c r="F45" s="2">
        <f t="shared" si="2"/>
        <v>-551.57400000000052</v>
      </c>
      <c r="G45" s="2">
        <f t="shared" si="5"/>
        <v>25084.274000000005</v>
      </c>
      <c r="H45" s="2">
        <f t="shared" si="3"/>
        <v>-1808.0740000000042</v>
      </c>
      <c r="I45" s="18">
        <f t="shared" si="6"/>
        <v>25279.737125000007</v>
      </c>
      <c r="J45" s="2">
        <f t="shared" si="4"/>
        <v>-2003.5371250000062</v>
      </c>
      <c r="K45" s="19">
        <f t="shared" si="7"/>
        <v>17917.887191397094</v>
      </c>
      <c r="L45" s="19">
        <f t="shared" si="8"/>
        <v>32641.58705860292</v>
      </c>
      <c r="M45">
        <f t="shared" si="9"/>
        <v>2003.5371250000062</v>
      </c>
    </row>
    <row r="46" spans="1:13" x14ac:dyDescent="0.25">
      <c r="A46" s="1">
        <v>45627</v>
      </c>
      <c r="B46" s="2">
        <v>25111</v>
      </c>
      <c r="C46" s="2">
        <f t="shared" si="0"/>
        <v>24237.079999999998</v>
      </c>
      <c r="D46" s="2">
        <f t="shared" si="0"/>
        <v>25531.776000000002</v>
      </c>
      <c r="E46">
        <f t="shared" si="1"/>
        <v>22942.383999999995</v>
      </c>
      <c r="F46" s="2">
        <f t="shared" si="2"/>
        <v>-647.34800000000178</v>
      </c>
      <c r="G46" s="2">
        <f t="shared" si="5"/>
        <v>23023.498</v>
      </c>
      <c r="H46" s="2">
        <f t="shared" si="3"/>
        <v>2087.5020000000004</v>
      </c>
      <c r="I46" s="18">
        <f t="shared" si="6"/>
        <v>23218.961125000002</v>
      </c>
      <c r="J46" s="2">
        <f t="shared" si="4"/>
        <v>1892.0388749999984</v>
      </c>
      <c r="K46" s="19">
        <f t="shared" si="7"/>
        <v>15857.111191397091</v>
      </c>
      <c r="L46" s="19">
        <f t="shared" si="8"/>
        <v>30580.811058602914</v>
      </c>
      <c r="M46">
        <f t="shared" si="9"/>
        <v>1892.0388749999984</v>
      </c>
    </row>
    <row r="47" spans="1:13" x14ac:dyDescent="0.25">
      <c r="A47" s="1">
        <v>45658</v>
      </c>
      <c r="B47" s="2">
        <v>21198.400000000001</v>
      </c>
      <c r="C47" s="2">
        <f t="shared" si="0"/>
        <v>23266.18</v>
      </c>
      <c r="D47" s="2">
        <f t="shared" si="0"/>
        <v>24918.764000000003</v>
      </c>
      <c r="E47">
        <f t="shared" si="1"/>
        <v>21613.595999999998</v>
      </c>
      <c r="F47" s="2">
        <f t="shared" si="2"/>
        <v>-826.29200000000128</v>
      </c>
      <c r="G47" s="2">
        <f t="shared" si="5"/>
        <v>22295.035999999993</v>
      </c>
      <c r="H47" s="2">
        <f t="shared" si="3"/>
        <v>-1096.6359999999913</v>
      </c>
      <c r="I47" s="18">
        <f t="shared" si="6"/>
        <v>22490.499124999995</v>
      </c>
      <c r="J47" s="2">
        <f t="shared" si="4"/>
        <v>-1292.0991249999934</v>
      </c>
      <c r="K47" s="19">
        <f t="shared" si="7"/>
        <v>15128.649191397084</v>
      </c>
      <c r="L47" s="19">
        <f t="shared" si="8"/>
        <v>29852.349058602907</v>
      </c>
      <c r="M47">
        <f t="shared" si="9"/>
        <v>1292.0991249999934</v>
      </c>
    </row>
    <row r="48" spans="1:13" x14ac:dyDescent="0.25">
      <c r="A48" s="1">
        <v>45689</v>
      </c>
      <c r="B48" s="2">
        <v>15355.3</v>
      </c>
      <c r="C48" s="2">
        <f t="shared" si="0"/>
        <v>20842.719999999998</v>
      </c>
      <c r="D48" s="2">
        <f t="shared" si="0"/>
        <v>23710.1</v>
      </c>
      <c r="E48">
        <f t="shared" si="1"/>
        <v>17975.339999999997</v>
      </c>
      <c r="F48" s="2">
        <f t="shared" si="2"/>
        <v>-1433.6900000000005</v>
      </c>
      <c r="G48" s="2">
        <f t="shared" si="5"/>
        <v>20787.303999999996</v>
      </c>
      <c r="H48" s="2">
        <f t="shared" si="3"/>
        <v>-5432.0039999999972</v>
      </c>
      <c r="I48" s="18">
        <f t="shared" si="6"/>
        <v>20982.767124999998</v>
      </c>
      <c r="J48" s="2">
        <f t="shared" si="4"/>
        <v>-5627.4671249999992</v>
      </c>
      <c r="K48" s="19">
        <f t="shared" si="7"/>
        <v>13620.917191397088</v>
      </c>
      <c r="L48" s="19">
        <f t="shared" si="8"/>
        <v>28344.617058602911</v>
      </c>
      <c r="M48">
        <f t="shared" si="9"/>
        <v>5627.4671249999992</v>
      </c>
    </row>
    <row r="49" spans="1:13" x14ac:dyDescent="0.25">
      <c r="A49" s="1">
        <v>45717</v>
      </c>
      <c r="B49" s="2">
        <v>13494.8</v>
      </c>
      <c r="C49" s="2">
        <f t="shared" si="0"/>
        <v>19687.140000000003</v>
      </c>
      <c r="D49" s="2">
        <f t="shared" si="0"/>
        <v>22542.268000000004</v>
      </c>
      <c r="E49">
        <f t="shared" si="1"/>
        <v>16832.012000000002</v>
      </c>
      <c r="F49" s="2">
        <f t="shared" si="2"/>
        <v>-1427.5640000000003</v>
      </c>
      <c r="G49" s="2">
        <f t="shared" si="5"/>
        <v>16541.649999999994</v>
      </c>
      <c r="H49" s="2">
        <f t="shared" si="3"/>
        <v>-3046.8499999999949</v>
      </c>
      <c r="I49" s="18">
        <f t="shared" si="6"/>
        <v>16737.113124999996</v>
      </c>
      <c r="J49" s="2">
        <f t="shared" si="4"/>
        <v>-3242.3131249999969</v>
      </c>
      <c r="K49" s="19">
        <f t="shared" si="7"/>
        <v>9375.2631913970854</v>
      </c>
      <c r="L49" s="19">
        <f t="shared" si="8"/>
        <v>24098.963058602909</v>
      </c>
      <c r="M49">
        <f t="shared" si="9"/>
        <v>3242.3131249999969</v>
      </c>
    </row>
    <row r="50" spans="1:13" x14ac:dyDescent="0.25">
      <c r="A50" s="1">
        <v>45748</v>
      </c>
      <c r="B50" s="2">
        <v>16201.6</v>
      </c>
      <c r="C50" s="2">
        <f t="shared" si="0"/>
        <v>18272.22</v>
      </c>
      <c r="D50" s="2">
        <f t="shared" si="0"/>
        <v>21261.067999999999</v>
      </c>
      <c r="E50">
        <f t="shared" si="1"/>
        <v>15283.372000000003</v>
      </c>
      <c r="F50" s="2">
        <f t="shared" si="2"/>
        <v>-1494.4239999999991</v>
      </c>
      <c r="G50" s="2">
        <f t="shared" si="5"/>
        <v>15404.448000000002</v>
      </c>
      <c r="H50" s="2">
        <f t="shared" si="3"/>
        <v>797.15199999999822</v>
      </c>
      <c r="I50" s="18">
        <f t="shared" si="6"/>
        <v>15599.911125000002</v>
      </c>
      <c r="J50" s="2">
        <f t="shared" si="4"/>
        <v>601.68887499999801</v>
      </c>
      <c r="K50" s="19">
        <f t="shared" si="7"/>
        <v>8238.0611913970915</v>
      </c>
      <c r="L50" s="19">
        <f t="shared" si="8"/>
        <v>22961.761058602911</v>
      </c>
      <c r="M50">
        <f t="shared" si="9"/>
        <v>601.68887499999801</v>
      </c>
    </row>
    <row r="51" spans="1:13" x14ac:dyDescent="0.25">
      <c r="A51" s="1">
        <v>45778</v>
      </c>
      <c r="B51" s="2">
        <v>20453.5</v>
      </c>
      <c r="C51" s="2">
        <f t="shared" si="0"/>
        <v>17340.72</v>
      </c>
      <c r="D51" s="2">
        <f t="shared" si="0"/>
        <v>19881.795999999998</v>
      </c>
      <c r="E51">
        <f t="shared" si="1"/>
        <v>14799.644000000004</v>
      </c>
      <c r="F51" s="2">
        <f t="shared" si="2"/>
        <v>-1270.5379999999986</v>
      </c>
      <c r="G51" s="2">
        <f t="shared" si="5"/>
        <v>13788.948000000004</v>
      </c>
      <c r="H51" s="2">
        <f t="shared" si="3"/>
        <v>6664.551999999996</v>
      </c>
      <c r="I51" s="18">
        <f t="shared" si="6"/>
        <v>13984.411125000004</v>
      </c>
      <c r="J51" s="2">
        <f t="shared" si="4"/>
        <v>6469.0888749999958</v>
      </c>
      <c r="K51" s="19">
        <f t="shared" si="7"/>
        <v>6622.5611913970934</v>
      </c>
      <c r="L51" s="19">
        <f t="shared" si="8"/>
        <v>21346.261058602915</v>
      </c>
      <c r="M51">
        <f t="shared" si="9"/>
        <v>6469.0888749999958</v>
      </c>
    </row>
    <row r="52" spans="1:13" x14ac:dyDescent="0.25">
      <c r="A52" s="1">
        <v>45809</v>
      </c>
      <c r="B52" s="2">
        <v>20186.900000000001</v>
      </c>
      <c r="C52" s="2">
        <f t="shared" si="0"/>
        <v>17138.420000000002</v>
      </c>
      <c r="D52" s="2">
        <f t="shared" si="0"/>
        <v>18656.243999999999</v>
      </c>
      <c r="E52">
        <f t="shared" si="1"/>
        <v>15620.596000000005</v>
      </c>
      <c r="F52" s="2">
        <f t="shared" si="2"/>
        <v>-758.91199999999844</v>
      </c>
      <c r="G52" s="2">
        <f t="shared" si="5"/>
        <v>13529.106000000005</v>
      </c>
      <c r="H52" s="2">
        <f t="shared" si="3"/>
        <v>6657.7939999999962</v>
      </c>
      <c r="I52" s="18">
        <f t="shared" si="6"/>
        <v>13724.569125000005</v>
      </c>
      <c r="J52" s="2">
        <f t="shared" si="4"/>
        <v>6462.330874999996</v>
      </c>
      <c r="K52" s="19">
        <f t="shared" si="7"/>
        <v>6362.7191913970946</v>
      </c>
      <c r="L52" s="19">
        <f t="shared" si="8"/>
        <v>21086.419058602914</v>
      </c>
      <c r="M52">
        <f t="shared" si="9"/>
        <v>6462.330874999996</v>
      </c>
    </row>
    <row r="53" spans="1:13" x14ac:dyDescent="0.25">
      <c r="A53" s="1">
        <v>45839</v>
      </c>
      <c r="B53" s="2">
        <v>13949.1</v>
      </c>
      <c r="C53" s="2">
        <f t="shared" si="0"/>
        <v>16857.18</v>
      </c>
      <c r="D53" s="2">
        <f t="shared" si="0"/>
        <v>17859.135999999999</v>
      </c>
      <c r="E53">
        <f t="shared" si="1"/>
        <v>15855.224000000002</v>
      </c>
      <c r="F53" s="2">
        <f t="shared" si="2"/>
        <v>-500.97799999999916</v>
      </c>
      <c r="G53" s="2">
        <f t="shared" si="5"/>
        <v>14861.684000000007</v>
      </c>
      <c r="H53" s="2">
        <f t="shared" si="3"/>
        <v>-912.5840000000062</v>
      </c>
      <c r="I53" s="18">
        <f t="shared" si="6"/>
        <v>15057.147125000007</v>
      </c>
      <c r="J53" s="2">
        <f t="shared" si="4"/>
        <v>-1108.0471250000064</v>
      </c>
      <c r="K53" s="19">
        <f t="shared" si="7"/>
        <v>7695.297191397096</v>
      </c>
      <c r="L53" s="19">
        <f t="shared" si="8"/>
        <v>22418.997058602916</v>
      </c>
      <c r="M53">
        <f t="shared" si="9"/>
        <v>1108.0471250000064</v>
      </c>
    </row>
    <row r="54" spans="1:13" x14ac:dyDescent="0.25">
      <c r="A54" s="1">
        <v>45870</v>
      </c>
      <c r="B54" s="2">
        <v>12749.4</v>
      </c>
      <c r="C54" s="2">
        <f t="shared" si="0"/>
        <v>16708.099999999999</v>
      </c>
      <c r="D54" s="2">
        <f t="shared" si="0"/>
        <v>17263.328000000001</v>
      </c>
      <c r="E54">
        <f t="shared" si="1"/>
        <v>16152.871999999996</v>
      </c>
      <c r="F54" s="2">
        <f t="shared" si="2"/>
        <v>-277.6140000000014</v>
      </c>
      <c r="G54" s="2">
        <f t="shared" si="5"/>
        <v>15354.246000000003</v>
      </c>
      <c r="H54" s="2">
        <f t="shared" si="3"/>
        <v>-2604.8460000000032</v>
      </c>
      <c r="I54" s="18">
        <f t="shared" si="6"/>
        <v>15549.709125000003</v>
      </c>
      <c r="J54" s="2">
        <f t="shared" si="4"/>
        <v>-2800.3091250000034</v>
      </c>
      <c r="K54" s="19">
        <f t="shared" si="7"/>
        <v>8187.8591913970922</v>
      </c>
      <c r="L54" s="19">
        <f t="shared" si="8"/>
        <v>22911.559058602914</v>
      </c>
      <c r="M54">
        <f t="shared" si="9"/>
        <v>2800.3091250000034</v>
      </c>
    </row>
    <row r="55" spans="1:13" x14ac:dyDescent="0.25">
      <c r="A55" s="1">
        <v>45901</v>
      </c>
      <c r="B55" s="2">
        <v>13183.5</v>
      </c>
      <c r="C55" s="2">
        <f t="shared" si="0"/>
        <v>16104.48</v>
      </c>
      <c r="D55" s="2">
        <f t="shared" si="0"/>
        <v>16829.78</v>
      </c>
      <c r="E55">
        <f t="shared" si="1"/>
        <v>15379.18</v>
      </c>
      <c r="F55" s="2">
        <f t="shared" si="2"/>
        <v>-362.64999999999964</v>
      </c>
      <c r="G55" s="2">
        <f t="shared" si="5"/>
        <v>15875.257999999994</v>
      </c>
      <c r="H55" s="2">
        <f t="shared" si="3"/>
        <v>-2691.7579999999944</v>
      </c>
      <c r="I55" s="18">
        <f t="shared" si="6"/>
        <v>16070.721124999995</v>
      </c>
      <c r="J55" s="2">
        <f t="shared" si="4"/>
        <v>-2887.2211249999946</v>
      </c>
      <c r="K55" s="19">
        <f t="shared" si="7"/>
        <v>8708.8711913970837</v>
      </c>
      <c r="L55" s="19">
        <f t="shared" si="8"/>
        <v>23432.571058602905</v>
      </c>
      <c r="M55">
        <f t="shared" si="9"/>
        <v>2887.2211249999946</v>
      </c>
    </row>
    <row r="56" spans="1:13" x14ac:dyDescent="0.25">
      <c r="A56" s="1">
        <v>45931</v>
      </c>
      <c r="B56" s="2">
        <v>13221</v>
      </c>
      <c r="C56" s="2">
        <f t="shared" si="0"/>
        <v>14657.98</v>
      </c>
      <c r="D56" s="2">
        <f t="shared" si="0"/>
        <v>16293.232</v>
      </c>
      <c r="E56">
        <f t="shared" si="1"/>
        <v>13022.727999999999</v>
      </c>
      <c r="F56" s="2">
        <f t="shared" si="2"/>
        <v>-817.6260000000002</v>
      </c>
      <c r="G56" s="2">
        <f t="shared" si="5"/>
        <v>15016.53</v>
      </c>
      <c r="H56" s="2">
        <f t="shared" si="3"/>
        <v>-1795.5300000000007</v>
      </c>
      <c r="I56" s="18">
        <f t="shared" si="6"/>
        <v>15211.993125000001</v>
      </c>
      <c r="J56" s="2">
        <f t="shared" si="4"/>
        <v>-1990.9931250000009</v>
      </c>
      <c r="K56" s="19">
        <f t="shared" si="7"/>
        <v>7850.14319139709</v>
      </c>
      <c r="L56" s="19">
        <f t="shared" si="8"/>
        <v>22573.843058602914</v>
      </c>
      <c r="M56">
        <f t="shared" si="9"/>
        <v>1990.9931250000009</v>
      </c>
    </row>
    <row r="57" spans="1:13" x14ac:dyDescent="0.25">
      <c r="A57" s="1">
        <v>45962</v>
      </c>
      <c r="B57" s="2">
        <v>18164.099999999999</v>
      </c>
      <c r="C57" s="2">
        <f t="shared" si="0"/>
        <v>14253.420000000002</v>
      </c>
      <c r="D57" s="2">
        <f t="shared" si="0"/>
        <v>15716.231999999998</v>
      </c>
      <c r="E57">
        <f t="shared" si="1"/>
        <v>12790.608000000006</v>
      </c>
      <c r="F57" s="2">
        <f t="shared" si="2"/>
        <v>-731.40599999999813</v>
      </c>
      <c r="G57" s="2">
        <f t="shared" si="5"/>
        <v>12205.101999999999</v>
      </c>
      <c r="H57" s="2">
        <f t="shared" si="3"/>
        <v>5958.9979999999996</v>
      </c>
      <c r="I57" s="18">
        <f t="shared" si="6"/>
        <v>12400.565124999999</v>
      </c>
      <c r="J57" s="2">
        <f t="shared" si="4"/>
        <v>5763.5348749999994</v>
      </c>
      <c r="K57" s="19">
        <f t="shared" si="7"/>
        <v>5038.7151913970883</v>
      </c>
      <c r="L57" s="19">
        <f t="shared" si="8"/>
        <v>19762.41505860291</v>
      </c>
      <c r="M57">
        <f t="shared" si="9"/>
        <v>5763.5348749999994</v>
      </c>
    </row>
    <row r="58" spans="1:13" x14ac:dyDescent="0.25">
      <c r="A58" s="1">
        <v>45992</v>
      </c>
      <c r="B58" s="2">
        <v>18027.400000000001</v>
      </c>
      <c r="C58" s="2">
        <f t="shared" si="0"/>
        <v>15069.079999999998</v>
      </c>
      <c r="D58" s="2">
        <f t="shared" si="0"/>
        <v>15358.611999999999</v>
      </c>
      <c r="E58">
        <f t="shared" si="1"/>
        <v>14779.547999999997</v>
      </c>
      <c r="F58" s="2">
        <f t="shared" si="2"/>
        <v>-144.76600000000053</v>
      </c>
      <c r="G58" s="2">
        <f t="shared" si="5"/>
        <v>12059.202000000008</v>
      </c>
      <c r="H58" s="2">
        <f t="shared" si="3"/>
        <v>5968.197999999993</v>
      </c>
      <c r="I58" s="18">
        <f t="shared" si="6"/>
        <v>12254.665125000009</v>
      </c>
      <c r="J58" s="2">
        <f t="shared" si="4"/>
        <v>5772.7348749999928</v>
      </c>
      <c r="K58" s="19">
        <f t="shared" si="7"/>
        <v>4892.8151913970978</v>
      </c>
      <c r="L58" s="19">
        <f t="shared" si="8"/>
        <v>19616.515058602919</v>
      </c>
      <c r="M58">
        <f t="shared" si="9"/>
        <v>5772.7348749999928</v>
      </c>
    </row>
    <row r="59" spans="1:13" x14ac:dyDescent="0.25">
      <c r="A59" s="1">
        <v>46023</v>
      </c>
      <c r="B59" s="2">
        <v>18065.5</v>
      </c>
      <c r="C59" s="2">
        <f t="shared" si="0"/>
        <v>16132.3</v>
      </c>
      <c r="D59" s="2">
        <f t="shared" si="0"/>
        <v>15243.452000000001</v>
      </c>
      <c r="E59">
        <f t="shared" si="1"/>
        <v>17021.147999999997</v>
      </c>
      <c r="F59" s="2">
        <f t="shared" si="2"/>
        <v>444.42399999999907</v>
      </c>
      <c r="G59" s="2">
        <f t="shared" si="5"/>
        <v>14634.781999999996</v>
      </c>
      <c r="H59" s="2">
        <f t="shared" si="3"/>
        <v>3430.7180000000044</v>
      </c>
      <c r="I59" s="18">
        <f t="shared" si="6"/>
        <v>14830.245124999996</v>
      </c>
      <c r="J59" s="2">
        <f t="shared" si="4"/>
        <v>3235.2548750000042</v>
      </c>
      <c r="K59" s="19">
        <f t="shared" si="7"/>
        <v>7468.395191397085</v>
      </c>
      <c r="L59" s="19">
        <f t="shared" si="8"/>
        <v>22192.095058602907</v>
      </c>
      <c r="M59">
        <f t="shared" si="9"/>
        <v>3235.2548750000042</v>
      </c>
    </row>
    <row r="60" spans="1:13" x14ac:dyDescent="0.25">
      <c r="A60" s="1">
        <v>46054</v>
      </c>
      <c r="B60" s="2">
        <v>12633.1</v>
      </c>
      <c r="C60" s="2">
        <f t="shared" si="0"/>
        <v>16022.220000000001</v>
      </c>
      <c r="D60" s="2">
        <f t="shared" si="0"/>
        <v>15227</v>
      </c>
      <c r="E60">
        <f t="shared" si="1"/>
        <v>16817.440000000002</v>
      </c>
      <c r="F60" s="2">
        <f t="shared" si="2"/>
        <v>397.61000000000058</v>
      </c>
      <c r="G60" s="2">
        <f t="shared" si="5"/>
        <v>17465.571999999996</v>
      </c>
      <c r="H60" s="2">
        <f t="shared" si="3"/>
        <v>-4832.4719999999961</v>
      </c>
      <c r="I60" s="18">
        <f t="shared" si="6"/>
        <v>17661.035124999999</v>
      </c>
      <c r="J60" s="2">
        <f t="shared" si="4"/>
        <v>-5027.9351249999982</v>
      </c>
      <c r="K60" s="19">
        <f t="shared" si="7"/>
        <v>10299.185191397088</v>
      </c>
      <c r="L60" s="19">
        <f t="shared" si="8"/>
        <v>25022.885058602908</v>
      </c>
      <c r="M60">
        <f t="shared" si="9"/>
        <v>5027.9351249999982</v>
      </c>
    </row>
    <row r="61" spans="1:13" x14ac:dyDescent="0.25">
      <c r="A61" s="1">
        <v>46082</v>
      </c>
      <c r="B61" s="2">
        <v>17500.8</v>
      </c>
      <c r="C61" s="2">
        <f t="shared" si="0"/>
        <v>16878.18</v>
      </c>
      <c r="D61" s="2">
        <f t="shared" si="0"/>
        <v>15671.040000000003</v>
      </c>
      <c r="E61" s="20">
        <f t="shared" si="1"/>
        <v>18085.32</v>
      </c>
      <c r="F61" s="21">
        <f t="shared" si="2"/>
        <v>603.5699999999988</v>
      </c>
      <c r="G61" s="2">
        <f t="shared" si="5"/>
        <v>17215.050000000003</v>
      </c>
      <c r="H61" s="2">
        <f t="shared" si="3"/>
        <v>285.74999999999636</v>
      </c>
      <c r="I61" s="18">
        <f t="shared" si="6"/>
        <v>17410.513125000005</v>
      </c>
      <c r="J61" s="2">
        <f t="shared" si="4"/>
        <v>90.286874999994325</v>
      </c>
      <c r="K61" s="19">
        <f t="shared" si="7"/>
        <v>10048.663191397094</v>
      </c>
      <c r="L61" s="19">
        <f t="shared" si="8"/>
        <v>24772.363058602918</v>
      </c>
      <c r="M61">
        <f t="shared" si="9"/>
        <v>90.286874999994325</v>
      </c>
    </row>
    <row r="62" spans="1:13" x14ac:dyDescent="0.25">
      <c r="A62" s="1">
        <v>46113</v>
      </c>
      <c r="B62" s="2">
        <v>1</v>
      </c>
      <c r="G62" s="2">
        <f>$E$61+B62*$F$61</f>
        <v>18688.89</v>
      </c>
      <c r="H62" s="2"/>
      <c r="I62" s="18">
        <f t="shared" si="6"/>
        <v>18884.353125000001</v>
      </c>
      <c r="J62" s="2"/>
      <c r="K62" s="6"/>
      <c r="L62" s="6"/>
      <c r="M62">
        <f t="shared" si="9"/>
        <v>0</v>
      </c>
    </row>
    <row r="63" spans="1:13" x14ac:dyDescent="0.25">
      <c r="A63" s="1">
        <v>46143</v>
      </c>
      <c r="B63" s="2">
        <v>2</v>
      </c>
      <c r="G63" s="2">
        <f t="shared" ref="G63:G73" si="10">$E$61+B63*$F$61</f>
        <v>19292.46</v>
      </c>
      <c r="I63" s="18">
        <f t="shared" si="6"/>
        <v>19487.923125000001</v>
      </c>
    </row>
    <row r="64" spans="1:13" x14ac:dyDescent="0.25">
      <c r="A64" s="1">
        <v>46174</v>
      </c>
      <c r="B64" s="2">
        <v>3</v>
      </c>
      <c r="G64" s="2">
        <f t="shared" si="10"/>
        <v>19896.029999999995</v>
      </c>
      <c r="I64" s="18">
        <f t="shared" si="6"/>
        <v>20091.493124999997</v>
      </c>
    </row>
    <row r="65" spans="1:9" x14ac:dyDescent="0.25">
      <c r="A65" s="1">
        <v>46204</v>
      </c>
      <c r="B65" s="2">
        <v>4</v>
      </c>
      <c r="G65" s="2">
        <f t="shared" si="10"/>
        <v>20499.599999999995</v>
      </c>
      <c r="I65" s="18">
        <f t="shared" si="6"/>
        <v>20695.063124999997</v>
      </c>
    </row>
    <row r="66" spans="1:9" x14ac:dyDescent="0.25">
      <c r="A66" s="1">
        <v>46235</v>
      </c>
      <c r="B66" s="2">
        <v>5</v>
      </c>
      <c r="G66" s="2">
        <f t="shared" si="10"/>
        <v>21103.169999999995</v>
      </c>
      <c r="I66" s="18">
        <f t="shared" si="6"/>
        <v>21298.633124999997</v>
      </c>
    </row>
    <row r="67" spans="1:9" x14ac:dyDescent="0.25">
      <c r="A67" s="1">
        <v>46266</v>
      </c>
      <c r="B67" s="2">
        <v>6</v>
      </c>
      <c r="G67" s="2">
        <f t="shared" si="10"/>
        <v>21706.739999999991</v>
      </c>
      <c r="I67" s="18">
        <f t="shared" si="6"/>
        <v>21902.203124999993</v>
      </c>
    </row>
    <row r="68" spans="1:9" x14ac:dyDescent="0.25">
      <c r="A68" s="1">
        <v>46296</v>
      </c>
      <c r="B68" s="2">
        <v>7</v>
      </c>
      <c r="G68" s="2">
        <f t="shared" si="10"/>
        <v>22310.30999999999</v>
      </c>
      <c r="I68" s="18">
        <f t="shared" si="6"/>
        <v>22505.773124999992</v>
      </c>
    </row>
    <row r="69" spans="1:9" x14ac:dyDescent="0.25">
      <c r="A69" s="1">
        <v>46327</v>
      </c>
      <c r="B69" s="2">
        <v>8</v>
      </c>
      <c r="G69" s="2">
        <f t="shared" si="10"/>
        <v>22913.87999999999</v>
      </c>
      <c r="I69" s="18">
        <f t="shared" si="6"/>
        <v>23109.343124999992</v>
      </c>
    </row>
    <row r="70" spans="1:9" x14ac:dyDescent="0.25">
      <c r="A70" s="1">
        <v>46357</v>
      </c>
      <c r="B70" s="2">
        <v>9</v>
      </c>
      <c r="G70" s="2">
        <f t="shared" si="10"/>
        <v>23517.44999999999</v>
      </c>
      <c r="I70" s="18">
        <f t="shared" si="6"/>
        <v>23712.913124999992</v>
      </c>
    </row>
    <row r="71" spans="1:9" x14ac:dyDescent="0.25">
      <c r="A71" s="1">
        <v>46388</v>
      </c>
      <c r="B71" s="2">
        <v>10</v>
      </c>
      <c r="G71" s="2">
        <f t="shared" si="10"/>
        <v>24121.01999999999</v>
      </c>
      <c r="I71" s="18">
        <f t="shared" si="6"/>
        <v>24316.483124999992</v>
      </c>
    </row>
    <row r="72" spans="1:9" x14ac:dyDescent="0.25">
      <c r="A72" s="1">
        <v>46419</v>
      </c>
      <c r="B72" s="2">
        <v>11</v>
      </c>
      <c r="G72" s="2">
        <f t="shared" si="10"/>
        <v>24724.589999999986</v>
      </c>
      <c r="I72" s="18">
        <f t="shared" si="6"/>
        <v>24920.053124999988</v>
      </c>
    </row>
    <row r="73" spans="1:9" x14ac:dyDescent="0.25">
      <c r="A73" s="1">
        <v>46447</v>
      </c>
      <c r="B73" s="2">
        <v>12</v>
      </c>
      <c r="G73" s="2">
        <f t="shared" si="10"/>
        <v>25328.159999999985</v>
      </c>
      <c r="I73" s="18">
        <f>G73+$H$2</f>
        <v>25523.623124999987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248AC-BCFF-420B-84D6-BB1E40C26A7A}">
  <dimension ref="A1:J51"/>
  <sheetViews>
    <sheetView workbookViewId="0"/>
  </sheetViews>
  <sheetFormatPr defaultRowHeight="14.3" x14ac:dyDescent="0.25"/>
  <sheetData>
    <row r="1" spans="1:10" x14ac:dyDescent="0.25">
      <c r="A1" t="s">
        <v>21</v>
      </c>
      <c r="B1">
        <v>0</v>
      </c>
      <c r="D1" t="s">
        <v>24</v>
      </c>
      <c r="G1" t="s">
        <v>26</v>
      </c>
      <c r="I1" t="s">
        <v>7</v>
      </c>
    </row>
    <row r="2" spans="1:10" ht="14.95" thickBot="1" x14ac:dyDescent="0.3"/>
    <row r="3" spans="1:10" ht="14.95" thickTop="1" x14ac:dyDescent="0.25">
      <c r="A3" s="7" t="s">
        <v>22</v>
      </c>
      <c r="B3" s="7" t="s">
        <v>23</v>
      </c>
      <c r="D3" s="7" t="s">
        <v>25</v>
      </c>
      <c r="E3" s="7" t="s">
        <v>7</v>
      </c>
      <c r="G3" s="7" t="s">
        <v>27</v>
      </c>
      <c r="H3" s="7" t="s">
        <v>25</v>
      </c>
      <c r="I3" s="7" t="s">
        <v>28</v>
      </c>
      <c r="J3" s="7" t="s">
        <v>29</v>
      </c>
    </row>
    <row r="4" spans="1:10" x14ac:dyDescent="0.25">
      <c r="A4">
        <v>1</v>
      </c>
      <c r="B4">
        <f t="array" ref="B4:B51">[1]!ADIFF('K = 5'!J14:J61,B1)</f>
        <v>-1454.8811249999853</v>
      </c>
      <c r="D4">
        <v>1</v>
      </c>
      <c r="E4">
        <f>[1]!ACF($B$4:$B$51,D4)</f>
        <v>0.38169034065580332</v>
      </c>
      <c r="G4" s="8" t="s">
        <v>30</v>
      </c>
      <c r="H4" s="8">
        <v>7</v>
      </c>
      <c r="I4" s="8">
        <f>[1]!LJUNG(B4:B51,0,H4)</f>
        <v>23.303358713785901</v>
      </c>
      <c r="J4" s="8">
        <f>_xlfn.CHISQ.DIST.RT(I4,H4)</f>
        <v>1.5091037211901735E-3</v>
      </c>
    </row>
    <row r="5" spans="1:10" x14ac:dyDescent="0.25">
      <c r="A5">
        <f>A4+1</f>
        <v>2</v>
      </c>
      <c r="B5">
        <v>-1491.591124999999</v>
      </c>
      <c r="D5">
        <f>D4+1</f>
        <v>2</v>
      </c>
      <c r="E5">
        <f>[1]!ACF($B$4:$B$51,D5)</f>
        <v>-0.16419210488303396</v>
      </c>
    </row>
    <row r="6" spans="1:10" x14ac:dyDescent="0.25">
      <c r="A6">
        <f t="shared" ref="A6:A51" si="0">A5+1</f>
        <v>3</v>
      </c>
      <c r="B6">
        <v>3421.7948750000069</v>
      </c>
      <c r="D6">
        <f t="shared" ref="D6:D10" si="1">D5+1</f>
        <v>3</v>
      </c>
      <c r="E6">
        <f>[1]!ACF($B$4:$B$51,D6)</f>
        <v>-0.39084751330435341</v>
      </c>
    </row>
    <row r="7" spans="1:10" x14ac:dyDescent="0.25">
      <c r="A7">
        <f t="shared" si="0"/>
        <v>4</v>
      </c>
      <c r="B7">
        <v>3035.4828750000124</v>
      </c>
      <c r="D7">
        <f t="shared" si="1"/>
        <v>4</v>
      </c>
      <c r="E7">
        <f>[1]!ACF($B$4:$B$51,D7)</f>
        <v>-0.29752820137587943</v>
      </c>
    </row>
    <row r="8" spans="1:10" x14ac:dyDescent="0.25">
      <c r="A8">
        <f t="shared" si="0"/>
        <v>5</v>
      </c>
      <c r="B8">
        <v>1985.8348749999859</v>
      </c>
      <c r="D8">
        <f t="shared" si="1"/>
        <v>5</v>
      </c>
      <c r="E8">
        <f>[1]!ACF($B$4:$B$51,D8)</f>
        <v>-9.4003993386966703E-2</v>
      </c>
    </row>
    <row r="9" spans="1:10" x14ac:dyDescent="0.25">
      <c r="A9">
        <f t="shared" si="0"/>
        <v>6</v>
      </c>
      <c r="B9">
        <v>753.32687499999156</v>
      </c>
      <c r="D9">
        <f t="shared" si="1"/>
        <v>6</v>
      </c>
      <c r="E9">
        <f>[1]!ACF($B$4:$B$51,D9)</f>
        <v>0.12595767662089608</v>
      </c>
    </row>
    <row r="10" spans="1:10" x14ac:dyDescent="0.25">
      <c r="A10">
        <f t="shared" si="0"/>
        <v>7</v>
      </c>
      <c r="B10">
        <v>-7745.6871249999931</v>
      </c>
      <c r="D10" s="5">
        <f t="shared" si="1"/>
        <v>7</v>
      </c>
      <c r="E10" s="5">
        <f>[1]!ACF($B$4:$B$51,D10)</f>
        <v>3.7384036100834635E-2</v>
      </c>
    </row>
    <row r="11" spans="1:10" x14ac:dyDescent="0.25">
      <c r="A11">
        <f t="shared" si="0"/>
        <v>8</v>
      </c>
      <c r="B11">
        <v>-3195.091124999999</v>
      </c>
    </row>
    <row r="12" spans="1:10" x14ac:dyDescent="0.25">
      <c r="A12">
        <f t="shared" si="0"/>
        <v>9</v>
      </c>
      <c r="B12">
        <v>-2810.8631249999853</v>
      </c>
    </row>
    <row r="13" spans="1:10" x14ac:dyDescent="0.25">
      <c r="A13">
        <f t="shared" si="0"/>
        <v>10</v>
      </c>
      <c r="B13">
        <v>1542.8768749999981</v>
      </c>
    </row>
    <row r="14" spans="1:10" x14ac:dyDescent="0.25">
      <c r="A14">
        <f t="shared" si="0"/>
        <v>11</v>
      </c>
      <c r="B14">
        <v>3115.6368749999783</v>
      </c>
    </row>
    <row r="15" spans="1:10" x14ac:dyDescent="0.25">
      <c r="A15">
        <f t="shared" si="0"/>
        <v>12</v>
      </c>
      <c r="B15">
        <v>5619.2428749999963</v>
      </c>
    </row>
    <row r="16" spans="1:10" x14ac:dyDescent="0.25">
      <c r="A16">
        <f t="shared" si="0"/>
        <v>13</v>
      </c>
      <c r="B16">
        <v>715.1628750000018</v>
      </c>
    </row>
    <row r="17" spans="1:2" x14ac:dyDescent="0.25">
      <c r="A17">
        <f t="shared" si="0"/>
        <v>14</v>
      </c>
      <c r="B17">
        <v>3726.2668749999866</v>
      </c>
    </row>
    <row r="18" spans="1:2" x14ac:dyDescent="0.25">
      <c r="A18">
        <f t="shared" si="0"/>
        <v>15</v>
      </c>
      <c r="B18">
        <v>2887.8768749999981</v>
      </c>
    </row>
    <row r="19" spans="1:2" x14ac:dyDescent="0.25">
      <c r="A19">
        <f t="shared" si="0"/>
        <v>16</v>
      </c>
      <c r="B19">
        <v>-2316.3691250000084</v>
      </c>
    </row>
    <row r="20" spans="1:2" x14ac:dyDescent="0.25">
      <c r="A20">
        <f t="shared" si="0"/>
        <v>17</v>
      </c>
      <c r="B20">
        <v>-5048.857124999995</v>
      </c>
    </row>
    <row r="21" spans="1:2" x14ac:dyDescent="0.25">
      <c r="A21">
        <f t="shared" si="0"/>
        <v>18</v>
      </c>
      <c r="B21">
        <v>-2087.4091249999947</v>
      </c>
    </row>
    <row r="22" spans="1:2" x14ac:dyDescent="0.25">
      <c r="A22">
        <f t="shared" si="0"/>
        <v>19</v>
      </c>
      <c r="B22">
        <v>-4787.0791250000038</v>
      </c>
    </row>
    <row r="23" spans="1:2" x14ac:dyDescent="0.25">
      <c r="A23">
        <f t="shared" si="0"/>
        <v>20</v>
      </c>
      <c r="B23">
        <v>-3316.1111249999922</v>
      </c>
    </row>
    <row r="24" spans="1:2" x14ac:dyDescent="0.25">
      <c r="A24">
        <f t="shared" si="0"/>
        <v>21</v>
      </c>
      <c r="B24">
        <v>5246.674874999997</v>
      </c>
    </row>
    <row r="25" spans="1:2" x14ac:dyDescent="0.25">
      <c r="A25">
        <f t="shared" si="0"/>
        <v>22</v>
      </c>
      <c r="B25">
        <v>4229.2768750000068</v>
      </c>
    </row>
    <row r="26" spans="1:2" x14ac:dyDescent="0.25">
      <c r="A26">
        <f t="shared" si="0"/>
        <v>23</v>
      </c>
      <c r="B26">
        <v>-391.67512500000157</v>
      </c>
    </row>
    <row r="27" spans="1:2" x14ac:dyDescent="0.25">
      <c r="A27">
        <f t="shared" si="0"/>
        <v>24</v>
      </c>
      <c r="B27">
        <v>-2490.2671250000058</v>
      </c>
    </row>
    <row r="28" spans="1:2" x14ac:dyDescent="0.25">
      <c r="A28">
        <f t="shared" si="0"/>
        <v>25</v>
      </c>
      <c r="B28">
        <v>707.10887499999444</v>
      </c>
    </row>
    <row r="29" spans="1:2" x14ac:dyDescent="0.25">
      <c r="A29">
        <f t="shared" si="0"/>
        <v>26</v>
      </c>
      <c r="B29">
        <v>930.62287499999729</v>
      </c>
    </row>
    <row r="30" spans="1:2" x14ac:dyDescent="0.25">
      <c r="A30">
        <f t="shared" si="0"/>
        <v>27</v>
      </c>
      <c r="B30">
        <v>2979.7948749999923</v>
      </c>
    </row>
    <row r="31" spans="1:2" x14ac:dyDescent="0.25">
      <c r="A31">
        <f t="shared" si="0"/>
        <v>28</v>
      </c>
      <c r="B31">
        <v>2400.4928749999999</v>
      </c>
    </row>
    <row r="32" spans="1:2" x14ac:dyDescent="0.25">
      <c r="A32">
        <f t="shared" si="0"/>
        <v>29</v>
      </c>
      <c r="B32">
        <v>-313.17512500000521</v>
      </c>
    </row>
    <row r="33" spans="1:2" x14ac:dyDescent="0.25">
      <c r="A33">
        <f t="shared" si="0"/>
        <v>30</v>
      </c>
      <c r="B33">
        <v>-542.48112499999843</v>
      </c>
    </row>
    <row r="34" spans="1:2" x14ac:dyDescent="0.25">
      <c r="A34">
        <f t="shared" si="0"/>
        <v>31</v>
      </c>
      <c r="B34">
        <v>-9612.9731250000077</v>
      </c>
    </row>
    <row r="35" spans="1:2" x14ac:dyDescent="0.25">
      <c r="A35">
        <f t="shared" si="0"/>
        <v>32</v>
      </c>
      <c r="B35">
        <v>-2003.5371250000062</v>
      </c>
    </row>
    <row r="36" spans="1:2" x14ac:dyDescent="0.25">
      <c r="A36">
        <f t="shared" si="0"/>
        <v>33</v>
      </c>
      <c r="B36">
        <v>1892.0388749999984</v>
      </c>
    </row>
    <row r="37" spans="1:2" x14ac:dyDescent="0.25">
      <c r="A37">
        <f t="shared" si="0"/>
        <v>34</v>
      </c>
      <c r="B37">
        <v>-1292.0991249999934</v>
      </c>
    </row>
    <row r="38" spans="1:2" x14ac:dyDescent="0.25">
      <c r="A38">
        <f t="shared" si="0"/>
        <v>35</v>
      </c>
      <c r="B38">
        <v>-5627.4671249999992</v>
      </c>
    </row>
    <row r="39" spans="1:2" x14ac:dyDescent="0.25">
      <c r="A39">
        <f t="shared" si="0"/>
        <v>36</v>
      </c>
      <c r="B39">
        <v>-3242.3131249999969</v>
      </c>
    </row>
    <row r="40" spans="1:2" x14ac:dyDescent="0.25">
      <c r="A40">
        <f t="shared" si="0"/>
        <v>37</v>
      </c>
      <c r="B40">
        <v>601.68887499999801</v>
      </c>
    </row>
    <row r="41" spans="1:2" x14ac:dyDescent="0.25">
      <c r="A41">
        <f t="shared" si="0"/>
        <v>38</v>
      </c>
      <c r="B41">
        <v>6469.0888749999958</v>
      </c>
    </row>
    <row r="42" spans="1:2" x14ac:dyDescent="0.25">
      <c r="A42">
        <f t="shared" si="0"/>
        <v>39</v>
      </c>
      <c r="B42">
        <v>6462.330874999996</v>
      </c>
    </row>
    <row r="43" spans="1:2" x14ac:dyDescent="0.25">
      <c r="A43">
        <f t="shared" si="0"/>
        <v>40</v>
      </c>
      <c r="B43">
        <v>-1108.0471250000064</v>
      </c>
    </row>
    <row r="44" spans="1:2" x14ac:dyDescent="0.25">
      <c r="A44">
        <f t="shared" si="0"/>
        <v>41</v>
      </c>
      <c r="B44">
        <v>-2800.3091250000034</v>
      </c>
    </row>
    <row r="45" spans="1:2" x14ac:dyDescent="0.25">
      <c r="A45">
        <f t="shared" si="0"/>
        <v>42</v>
      </c>
      <c r="B45">
        <v>-2887.2211249999946</v>
      </c>
    </row>
    <row r="46" spans="1:2" x14ac:dyDescent="0.25">
      <c r="A46">
        <f t="shared" si="0"/>
        <v>43</v>
      </c>
      <c r="B46">
        <v>-1990.9931250000009</v>
      </c>
    </row>
    <row r="47" spans="1:2" x14ac:dyDescent="0.25">
      <c r="A47">
        <f t="shared" si="0"/>
        <v>44</v>
      </c>
      <c r="B47">
        <v>5763.5348749999994</v>
      </c>
    </row>
    <row r="48" spans="1:2" x14ac:dyDescent="0.25">
      <c r="A48">
        <f t="shared" si="0"/>
        <v>45</v>
      </c>
      <c r="B48">
        <v>5772.7348749999928</v>
      </c>
    </row>
    <row r="49" spans="1:2" x14ac:dyDescent="0.25">
      <c r="A49">
        <f t="shared" si="0"/>
        <v>46</v>
      </c>
      <c r="B49">
        <v>3235.2548750000042</v>
      </c>
    </row>
    <row r="50" spans="1:2" x14ac:dyDescent="0.25">
      <c r="A50">
        <f t="shared" si="0"/>
        <v>47</v>
      </c>
      <c r="B50">
        <v>-5027.9351249999982</v>
      </c>
    </row>
    <row r="51" spans="1:2" x14ac:dyDescent="0.25">
      <c r="A51" s="5">
        <f t="shared" si="0"/>
        <v>48</v>
      </c>
      <c r="B51" s="5">
        <v>90.286874999994325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FD05F-84E6-483F-AB32-792559B9CB33}">
  <dimension ref="A1:H21"/>
  <sheetViews>
    <sheetView workbookViewId="0"/>
  </sheetViews>
  <sheetFormatPr defaultRowHeight="14.3" x14ac:dyDescent="0.25"/>
  <sheetData>
    <row r="1" spans="1:8" x14ac:dyDescent="0.25">
      <c r="A1" t="s">
        <v>31</v>
      </c>
      <c r="D1" t="s">
        <v>50</v>
      </c>
      <c r="E1" s="3">
        <v>2.2000000000000002</v>
      </c>
      <c r="G1" t="s">
        <v>62</v>
      </c>
    </row>
    <row r="3" spans="1:8" x14ac:dyDescent="0.25">
      <c r="A3" s="9"/>
      <c r="B3" s="10">
        <f>'K = 5'!J14</f>
        <v>-1454.8811249999853</v>
      </c>
      <c r="E3" s="11">
        <f>'K = 5'!J14</f>
        <v>-1454.8811249999853</v>
      </c>
      <c r="G3" s="9"/>
      <c r="H3" s="10">
        <f>'K = 5'!J14</f>
        <v>-1454.8811249999853</v>
      </c>
    </row>
    <row r="4" spans="1:8" x14ac:dyDescent="0.25">
      <c r="A4" t="s">
        <v>32</v>
      </c>
      <c r="B4" s="2">
        <f>AVERAGE('K = 5'!J15:J61)</f>
        <v>30.954917553190093</v>
      </c>
      <c r="D4" t="s">
        <v>53</v>
      </c>
      <c r="E4" s="12">
        <f>E11-$E18</f>
        <v>0</v>
      </c>
      <c r="G4" t="s">
        <v>63</v>
      </c>
      <c r="H4">
        <f>[1]!SHAPIRO('K = 5'!J15:J61)</f>
        <v>0.97840643718217901</v>
      </c>
    </row>
    <row r="5" spans="1:8" x14ac:dyDescent="0.25">
      <c r="A5" t="s">
        <v>33</v>
      </c>
      <c r="B5">
        <f>_xlfn.STDEV.S('K = 5'!J15:J61)/SQRT(COUNT('K = 5'!J15:J61))</f>
        <v>552.89527969489245</v>
      </c>
      <c r="D5" t="s">
        <v>57</v>
      </c>
      <c r="E5" s="13">
        <f>MAX(E12-E11,0)</f>
        <v>6967.6850000000031</v>
      </c>
      <c r="G5" t="s">
        <v>29</v>
      </c>
      <c r="H5">
        <f>[1]!SWTEST('K = 5'!J15:J61)</f>
        <v>0.5280887044258431</v>
      </c>
    </row>
    <row r="6" spans="1:8" x14ac:dyDescent="0.25">
      <c r="A6" t="s">
        <v>34</v>
      </c>
      <c r="B6" s="2">
        <f>MEDIAN('K = 5'!J15:J61)</f>
        <v>90.286874999994325</v>
      </c>
      <c r="D6" t="s">
        <v>58</v>
      </c>
      <c r="E6" s="13">
        <f t="shared" ref="E6:E8" si="0">MAX(E13-E12,0)</f>
        <v>2735.5749999999989</v>
      </c>
      <c r="G6" t="s">
        <v>8</v>
      </c>
      <c r="H6">
        <v>0.05</v>
      </c>
    </row>
    <row r="7" spans="1:8" x14ac:dyDescent="0.25">
      <c r="A7" t="s">
        <v>35</v>
      </c>
      <c r="B7" t="e">
        <f>MODE('K = 5'!J15:J61)</f>
        <v>#N/A</v>
      </c>
      <c r="D7" t="s">
        <v>59</v>
      </c>
      <c r="E7" s="13">
        <f t="shared" si="0"/>
        <v>2917.352000000008</v>
      </c>
      <c r="G7" s="5" t="s">
        <v>64</v>
      </c>
      <c r="H7" s="16" t="str">
        <f>IF(H5&lt;H6,"no","yes")</f>
        <v>yes</v>
      </c>
    </row>
    <row r="8" spans="1:8" x14ac:dyDescent="0.25">
      <c r="A8" t="s">
        <v>36</v>
      </c>
      <c r="B8">
        <f>_xlfn.STDEV.S('K = 5'!J15:J61)</f>
        <v>3790.4590677803117</v>
      </c>
      <c r="D8" t="s">
        <v>60</v>
      </c>
      <c r="E8" s="13">
        <f t="shared" si="0"/>
        <v>3461.4499999999935</v>
      </c>
    </row>
    <row r="9" spans="1:8" x14ac:dyDescent="0.25">
      <c r="A9" t="s">
        <v>37</v>
      </c>
      <c r="B9">
        <f>_xlfn.VAR.S('K = 5'!J15:J61)</f>
        <v>14367579.944517989</v>
      </c>
      <c r="D9" t="s">
        <v>32</v>
      </c>
      <c r="E9" s="15">
        <f>E16-$E18</f>
        <v>9643.9280425531979</v>
      </c>
      <c r="G9" t="s">
        <v>65</v>
      </c>
    </row>
    <row r="10" spans="1:8" x14ac:dyDescent="0.25">
      <c r="A10" t="s">
        <v>38</v>
      </c>
      <c r="B10">
        <f>KURT('K = 5'!J15:J61)</f>
        <v>-0.28995071922916171</v>
      </c>
    </row>
    <row r="11" spans="1:8" x14ac:dyDescent="0.25">
      <c r="A11" t="s">
        <v>39</v>
      </c>
      <c r="B11">
        <f>SKEW('K = 5'!J15:J61)</f>
        <v>-0.2496849791753224</v>
      </c>
      <c r="D11" t="s">
        <v>53</v>
      </c>
      <c r="E11" s="12">
        <f t="array" ref="E11">MIN(IF(ISBLANK('K = 5'!J15:J61),"",IF('K = 5'!J15:J61&gt;=E12-$E1*(E14-E12),'K = 5'!J15:J61,"")))</f>
        <v>-9612.9731250000077</v>
      </c>
      <c r="G11" s="17" t="s">
        <v>66</v>
      </c>
      <c r="H11" s="17">
        <f>[1]!DAGOSTINO('K = 5'!J15:J61)</f>
        <v>0.6482282159344761</v>
      </c>
    </row>
    <row r="12" spans="1:8" x14ac:dyDescent="0.25">
      <c r="A12" t="s">
        <v>40</v>
      </c>
      <c r="B12">
        <f>B13-B14</f>
        <v>16082.062000000004</v>
      </c>
      <c r="D12" t="s">
        <v>54</v>
      </c>
      <c r="E12" s="13">
        <f>_xlfn.QUARTILE.INC('K = 5'!J15:J61,1)</f>
        <v>-2645.2881250000046</v>
      </c>
      <c r="G12" t="s">
        <v>29</v>
      </c>
      <c r="H12">
        <f>[1]!DPTEST('K = 5'!J15:J61)</f>
        <v>0.7231677184732872</v>
      </c>
    </row>
    <row r="13" spans="1:8" x14ac:dyDescent="0.25">
      <c r="A13" t="s">
        <v>41</v>
      </c>
      <c r="B13" s="2">
        <f>MAX('K = 5'!J15:J61)</f>
        <v>6469.0888749999958</v>
      </c>
      <c r="D13" t="s">
        <v>34</v>
      </c>
      <c r="E13" s="14">
        <f>MEDIAN('K = 5'!J15:J61)</f>
        <v>90.286874999994325</v>
      </c>
      <c r="G13" t="s">
        <v>8</v>
      </c>
      <c r="H13">
        <v>0.05</v>
      </c>
    </row>
    <row r="14" spans="1:8" x14ac:dyDescent="0.25">
      <c r="A14" t="s">
        <v>42</v>
      </c>
      <c r="B14" s="2">
        <f>MIN('K = 5'!J15:J61)</f>
        <v>-9612.9731250000077</v>
      </c>
      <c r="D14" t="s">
        <v>55</v>
      </c>
      <c r="E14" s="13">
        <f>_xlfn.QUARTILE.INC('K = 5'!J15:J61,3)</f>
        <v>3007.6388750000024</v>
      </c>
      <c r="G14" s="5" t="s">
        <v>64</v>
      </c>
      <c r="H14" s="16" t="str">
        <f>IF(H12&lt;H13,"no","yes")</f>
        <v>yes</v>
      </c>
    </row>
    <row r="15" spans="1:8" x14ac:dyDescent="0.25">
      <c r="A15" t="s">
        <v>43</v>
      </c>
      <c r="B15" s="2">
        <f>SUM('K = 5'!J15:J61)</f>
        <v>1454.8811249999344</v>
      </c>
      <c r="D15" t="s">
        <v>56</v>
      </c>
      <c r="E15" s="13">
        <f t="array" ref="E15">MAX(IF(ISBLANK('K = 5'!J15:J61),"",IF('K = 5'!J15:J61&lt;=E14+$E1*(E14-E12),'K = 5'!J15:J61,"")))</f>
        <v>6469.0888749999958</v>
      </c>
    </row>
    <row r="16" spans="1:8" x14ac:dyDescent="0.25">
      <c r="A16" t="s">
        <v>44</v>
      </c>
      <c r="B16">
        <f>COUNT('K = 5'!J15:J61)</f>
        <v>47</v>
      </c>
      <c r="D16" t="s">
        <v>32</v>
      </c>
      <c r="E16" s="15">
        <f>AVERAGE('K = 5'!J15:J61)</f>
        <v>30.954917553190093</v>
      </c>
    </row>
    <row r="17" spans="1:5" x14ac:dyDescent="0.25">
      <c r="A17" t="s">
        <v>45</v>
      </c>
      <c r="B17" t="e">
        <f>GEOMEAN('K = 5'!J15:J61)</f>
        <v>#NUM!</v>
      </c>
    </row>
    <row r="18" spans="1:5" x14ac:dyDescent="0.25">
      <c r="A18" t="s">
        <v>46</v>
      </c>
      <c r="B18" t="e">
        <f>HARMEAN('K = 5'!J15:J61)</f>
        <v>#NUM!</v>
      </c>
      <c r="D18" t="s">
        <v>51</v>
      </c>
      <c r="E18" s="3">
        <f>IF(MIN(E11)&gt;=0,0,MIN(E11))</f>
        <v>-9612.9731250000077</v>
      </c>
    </row>
    <row r="19" spans="1:5" x14ac:dyDescent="0.25">
      <c r="A19" t="s">
        <v>47</v>
      </c>
      <c r="B19">
        <f>AVEDEV('K = 5'!J15:J61)</f>
        <v>3099.6389352648243</v>
      </c>
    </row>
    <row r="20" spans="1:5" x14ac:dyDescent="0.25">
      <c r="A20" t="s">
        <v>48</v>
      </c>
      <c r="B20">
        <f>[1]!MAD('K = 5'!J15:J61)</f>
        <v>2890.5959999999977</v>
      </c>
      <c r="D20" t="s">
        <v>52</v>
      </c>
      <c r="E20" t="s">
        <v>61</v>
      </c>
    </row>
    <row r="21" spans="1:5" x14ac:dyDescent="0.25">
      <c r="A21" s="5" t="s">
        <v>49</v>
      </c>
      <c r="B21" s="5">
        <f>[1]!IQR('K = 5'!J15:J61,FALSE)</f>
        <v>5652.927000000007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9EE92-A60A-4DFE-8AD9-AD0998970EA6}">
  <dimension ref="A2:N73"/>
  <sheetViews>
    <sheetView workbookViewId="0">
      <selection activeCell="J1" sqref="J1"/>
    </sheetView>
  </sheetViews>
  <sheetFormatPr defaultRowHeight="14.3" x14ac:dyDescent="0.25"/>
  <cols>
    <col min="7" max="7" width="10.625" bestFit="1" customWidth="1"/>
    <col min="8" max="8" width="8.5" bestFit="1" customWidth="1"/>
    <col min="9" max="9" width="15.375" bestFit="1" customWidth="1"/>
    <col min="10" max="10" width="12.25" bestFit="1" customWidth="1"/>
    <col min="11" max="13" width="11.875" bestFit="1" customWidth="1"/>
  </cols>
  <sheetData>
    <row r="2" spans="1:14" x14ac:dyDescent="0.25">
      <c r="G2" s="6" t="s">
        <v>18</v>
      </c>
      <c r="H2" s="2">
        <f>AVERAGE(H12:H61)</f>
        <v>54.366875000000107</v>
      </c>
      <c r="J2" s="6" t="s">
        <v>70</v>
      </c>
      <c r="K2">
        <f>_xlfn.STDEV.S(J12:J61)</f>
        <v>4106.3103237077748</v>
      </c>
      <c r="M2" s="6" t="s">
        <v>48</v>
      </c>
      <c r="N2">
        <f>AVERAGE(M12:M61)</f>
        <v>3218.1648083333334</v>
      </c>
    </row>
    <row r="4" spans="1:14" x14ac:dyDescent="0.25">
      <c r="A4" t="s">
        <v>4</v>
      </c>
      <c r="B4" s="6" t="s">
        <v>5</v>
      </c>
      <c r="C4" s="6" t="s">
        <v>12</v>
      </c>
      <c r="D4" s="6" t="s">
        <v>13</v>
      </c>
      <c r="E4" s="6" t="s">
        <v>15</v>
      </c>
      <c r="F4" s="6" t="s">
        <v>14</v>
      </c>
      <c r="G4" s="6" t="s">
        <v>16</v>
      </c>
      <c r="H4" s="6" t="s">
        <v>17</v>
      </c>
      <c r="I4" s="6" t="s">
        <v>19</v>
      </c>
      <c r="J4" s="6" t="s">
        <v>20</v>
      </c>
      <c r="K4" s="6" t="s">
        <v>68</v>
      </c>
      <c r="L4" s="6" t="s">
        <v>69</v>
      </c>
    </row>
    <row r="5" spans="1:14" x14ac:dyDescent="0.25">
      <c r="A5" s="1">
        <v>44378</v>
      </c>
      <c r="B5" s="2">
        <v>43439.7</v>
      </c>
    </row>
    <row r="6" spans="1:14" x14ac:dyDescent="0.25">
      <c r="A6" s="1">
        <v>44409</v>
      </c>
      <c r="B6" s="2">
        <v>42795.8</v>
      </c>
    </row>
    <row r="7" spans="1:14" x14ac:dyDescent="0.25">
      <c r="A7" s="1">
        <v>44440</v>
      </c>
      <c r="B7" s="2">
        <v>43575.4</v>
      </c>
      <c r="C7" s="2"/>
    </row>
    <row r="8" spans="1:14" x14ac:dyDescent="0.25">
      <c r="A8" s="1">
        <v>44470</v>
      </c>
      <c r="B8" s="2">
        <v>37323.9</v>
      </c>
      <c r="C8" s="2">
        <f>AVERAGE(B5:B8)</f>
        <v>41783.699999999997</v>
      </c>
    </row>
    <row r="9" spans="1:14" x14ac:dyDescent="0.25">
      <c r="A9" s="1">
        <v>44501</v>
      </c>
      <c r="B9" s="2">
        <v>37760.800000000003</v>
      </c>
      <c r="C9" s="2">
        <f t="shared" ref="C9:D61" si="0">AVERAGE(B6:B9)</f>
        <v>40363.975000000006</v>
      </c>
      <c r="D9" s="2"/>
      <c r="F9" s="2"/>
    </row>
    <row r="10" spans="1:14" x14ac:dyDescent="0.25">
      <c r="A10" s="1">
        <v>44531</v>
      </c>
      <c r="B10" s="2">
        <v>40536.5</v>
      </c>
      <c r="C10" s="2">
        <f t="shared" si="0"/>
        <v>39799.15</v>
      </c>
      <c r="D10" s="2"/>
      <c r="F10" s="2"/>
      <c r="G10" s="2"/>
      <c r="H10" s="2"/>
      <c r="I10" s="22"/>
      <c r="J10" s="2"/>
      <c r="K10" s="6"/>
      <c r="L10" s="6"/>
    </row>
    <row r="11" spans="1:14" x14ac:dyDescent="0.25">
      <c r="A11" s="1">
        <v>44562</v>
      </c>
      <c r="B11" s="2">
        <v>38497.1</v>
      </c>
      <c r="C11" s="2">
        <f t="shared" si="0"/>
        <v>38529.575000000004</v>
      </c>
      <c r="D11" s="2">
        <f>AVERAGE(C8:C11)</f>
        <v>40119.100000000006</v>
      </c>
      <c r="E11">
        <f>2*C11-D11</f>
        <v>36940.050000000003</v>
      </c>
      <c r="F11" s="2">
        <f>(2/(4-1)*(C11-D11))</f>
        <v>-1059.6833333333343</v>
      </c>
      <c r="G11" s="2"/>
      <c r="H11" s="2"/>
      <c r="I11" s="22"/>
      <c r="J11" s="2"/>
      <c r="K11" s="6"/>
      <c r="L11" s="6"/>
    </row>
    <row r="12" spans="1:14" x14ac:dyDescent="0.25">
      <c r="A12" s="1">
        <v>44593</v>
      </c>
      <c r="B12" s="2">
        <v>34233.9</v>
      </c>
      <c r="C12" s="2">
        <f t="shared" si="0"/>
        <v>37757.074999999997</v>
      </c>
      <c r="D12" s="2">
        <f t="shared" si="0"/>
        <v>39112.443750000006</v>
      </c>
      <c r="E12">
        <f t="shared" ref="E12:E61" si="1">2*C12-D12</f>
        <v>36401.706249999988</v>
      </c>
      <c r="F12" s="2">
        <f>(2/(4-1)*(C12-D12))</f>
        <v>-903.57916666667245</v>
      </c>
      <c r="G12" s="2">
        <f>E11+F11</f>
        <v>35880.366666666669</v>
      </c>
      <c r="H12" s="2">
        <f t="shared" ref="H12:H61" si="2">B12-G12</f>
        <v>-1646.4666666666672</v>
      </c>
      <c r="I12" s="18">
        <f>G12+$H$2</f>
        <v>35934.733541666668</v>
      </c>
      <c r="J12" s="2">
        <f t="shared" ref="J12:J61" si="3">B12-I12</f>
        <v>-1700.8335416666669</v>
      </c>
      <c r="K12" s="19">
        <f>I12-1.96*$K$2</f>
        <v>27886.36530719943</v>
      </c>
      <c r="L12" s="19">
        <f>I12+1.96*$K$2</f>
        <v>43983.10177613391</v>
      </c>
      <c r="M12">
        <f>ABS(J12)</f>
        <v>1700.8335416666669</v>
      </c>
    </row>
    <row r="13" spans="1:14" x14ac:dyDescent="0.25">
      <c r="A13" s="1">
        <v>44621</v>
      </c>
      <c r="B13" s="2">
        <v>35915</v>
      </c>
      <c r="C13" s="2">
        <f t="shared" si="0"/>
        <v>37295.625</v>
      </c>
      <c r="D13" s="2">
        <f t="shared" si="0"/>
        <v>38345.356249999997</v>
      </c>
      <c r="E13">
        <f t="shared" si="1"/>
        <v>36245.893750000003</v>
      </c>
      <c r="F13" s="2">
        <f t="shared" ref="F13:F61" si="4">(2/(4-1)*(C13-D13))</f>
        <v>-699.82083333333139</v>
      </c>
      <c r="G13" s="2">
        <f t="shared" ref="G13:G61" si="5">E12+F12</f>
        <v>35498.127083333318</v>
      </c>
      <c r="H13" s="2">
        <f t="shared" si="2"/>
        <v>416.8729166666817</v>
      </c>
      <c r="I13" s="18">
        <f t="shared" ref="I13:I73" si="6">G13+$H$2</f>
        <v>35552.493958333318</v>
      </c>
      <c r="J13" s="2">
        <f t="shared" si="3"/>
        <v>362.50604166668199</v>
      </c>
      <c r="K13" s="19">
        <f t="shared" ref="K13:K61" si="7">I13-1.96*$K$2</f>
        <v>27504.12572386608</v>
      </c>
      <c r="L13" s="19">
        <f t="shared" ref="L13:L61" si="8">I13+1.96*$K$2</f>
        <v>43600.86219280056</v>
      </c>
      <c r="M13">
        <f t="shared" ref="M13:M61" si="9">ABS(J13)</f>
        <v>362.50604166668199</v>
      </c>
    </row>
    <row r="14" spans="1:14" x14ac:dyDescent="0.25">
      <c r="A14" s="1">
        <v>44652</v>
      </c>
      <c r="B14" s="2">
        <v>33419.599999999999</v>
      </c>
      <c r="C14" s="2">
        <f t="shared" si="0"/>
        <v>35516.400000000001</v>
      </c>
      <c r="D14" s="2">
        <f t="shared" si="0"/>
        <v>37274.668749999997</v>
      </c>
      <c r="E14">
        <f t="shared" si="1"/>
        <v>33758.131250000006</v>
      </c>
      <c r="F14" s="2">
        <f t="shared" si="4"/>
        <v>-1172.1791666666636</v>
      </c>
      <c r="G14" s="2">
        <f t="shared" si="5"/>
        <v>35546.072916666672</v>
      </c>
      <c r="H14" s="2">
        <f t="shared" si="2"/>
        <v>-2126.472916666673</v>
      </c>
      <c r="I14" s="18">
        <f t="shared" si="6"/>
        <v>35600.439791666671</v>
      </c>
      <c r="J14" s="2">
        <f t="shared" si="3"/>
        <v>-2180.8397916666727</v>
      </c>
      <c r="K14" s="19">
        <f t="shared" si="7"/>
        <v>27552.071557199433</v>
      </c>
      <c r="L14" s="19">
        <f t="shared" si="8"/>
        <v>43648.808026133913</v>
      </c>
      <c r="M14">
        <f t="shared" si="9"/>
        <v>2180.8397916666727</v>
      </c>
    </row>
    <row r="15" spans="1:14" x14ac:dyDescent="0.25">
      <c r="A15" s="1">
        <v>44682</v>
      </c>
      <c r="B15" s="2">
        <v>32549.9</v>
      </c>
      <c r="C15" s="2">
        <f t="shared" si="0"/>
        <v>34029.599999999999</v>
      </c>
      <c r="D15" s="2">
        <f t="shared" si="0"/>
        <v>36149.675000000003</v>
      </c>
      <c r="E15">
        <f t="shared" si="1"/>
        <v>31909.524999999994</v>
      </c>
      <c r="F15" s="2">
        <f t="shared" si="4"/>
        <v>-1413.3833333333362</v>
      </c>
      <c r="G15" s="2">
        <f t="shared" si="5"/>
        <v>32585.952083333341</v>
      </c>
      <c r="H15" s="2">
        <f t="shared" si="2"/>
        <v>-36.052083333339397</v>
      </c>
      <c r="I15" s="18">
        <f t="shared" si="6"/>
        <v>32640.318958333341</v>
      </c>
      <c r="J15" s="2">
        <f t="shared" si="3"/>
        <v>-90.418958333339106</v>
      </c>
      <c r="K15" s="19">
        <f t="shared" si="7"/>
        <v>24591.950723866103</v>
      </c>
      <c r="L15" s="19">
        <f t="shared" si="8"/>
        <v>40688.687192800578</v>
      </c>
      <c r="M15">
        <f t="shared" si="9"/>
        <v>90.418958333339106</v>
      </c>
    </row>
    <row r="16" spans="1:14" x14ac:dyDescent="0.25">
      <c r="A16" s="1">
        <v>44713</v>
      </c>
      <c r="B16" s="2">
        <v>35112.6</v>
      </c>
      <c r="C16" s="2">
        <f t="shared" si="0"/>
        <v>34249.275000000001</v>
      </c>
      <c r="D16" s="2">
        <f t="shared" si="0"/>
        <v>35272.724999999999</v>
      </c>
      <c r="E16">
        <f t="shared" si="1"/>
        <v>33225.825000000004</v>
      </c>
      <c r="F16" s="2">
        <f t="shared" si="4"/>
        <v>-682.29999999999802</v>
      </c>
      <c r="G16" s="2">
        <f t="shared" si="5"/>
        <v>30496.141666666659</v>
      </c>
      <c r="H16" s="2">
        <f t="shared" si="2"/>
        <v>4616.4583333333394</v>
      </c>
      <c r="I16" s="18">
        <f t="shared" si="6"/>
        <v>30550.508541666659</v>
      </c>
      <c r="J16" s="2">
        <f t="shared" si="3"/>
        <v>4562.0914583333397</v>
      </c>
      <c r="K16" s="19">
        <f t="shared" si="7"/>
        <v>22502.140307199421</v>
      </c>
      <c r="L16" s="19">
        <f t="shared" si="8"/>
        <v>38598.876776133897</v>
      </c>
      <c r="M16">
        <f t="shared" si="9"/>
        <v>4562.0914583333397</v>
      </c>
    </row>
    <row r="17" spans="1:13" x14ac:dyDescent="0.25">
      <c r="A17" s="1">
        <v>44743</v>
      </c>
      <c r="B17" s="2">
        <v>34621.800000000003</v>
      </c>
      <c r="C17" s="2">
        <f t="shared" si="0"/>
        <v>33925.975000000006</v>
      </c>
      <c r="D17" s="2">
        <f t="shared" si="0"/>
        <v>34430.3125</v>
      </c>
      <c r="E17">
        <f t="shared" si="1"/>
        <v>33421.637500000012</v>
      </c>
      <c r="F17" s="2">
        <f t="shared" si="4"/>
        <v>-336.2249999999961</v>
      </c>
      <c r="G17" s="2">
        <f t="shared" si="5"/>
        <v>32543.525000000005</v>
      </c>
      <c r="H17" s="2">
        <f t="shared" si="2"/>
        <v>2078.2749999999978</v>
      </c>
      <c r="I17" s="18">
        <f t="shared" si="6"/>
        <v>32597.891875000005</v>
      </c>
      <c r="J17" s="2">
        <f t="shared" si="3"/>
        <v>2023.9081249999981</v>
      </c>
      <c r="K17" s="19">
        <f t="shared" si="7"/>
        <v>24549.523640532767</v>
      </c>
      <c r="L17" s="19">
        <f t="shared" si="8"/>
        <v>40646.260109467243</v>
      </c>
      <c r="M17">
        <f t="shared" si="9"/>
        <v>2023.9081249999981</v>
      </c>
    </row>
    <row r="18" spans="1:13" x14ac:dyDescent="0.25">
      <c r="A18" s="1">
        <v>44774</v>
      </c>
      <c r="B18" s="2">
        <v>34770.1</v>
      </c>
      <c r="C18" s="2">
        <f t="shared" si="0"/>
        <v>34263.599999999999</v>
      </c>
      <c r="D18" s="2">
        <f t="shared" si="0"/>
        <v>34117.112500000003</v>
      </c>
      <c r="E18">
        <f t="shared" si="1"/>
        <v>34410.087499999994</v>
      </c>
      <c r="F18" s="2">
        <f t="shared" si="4"/>
        <v>97.658333333330418</v>
      </c>
      <c r="G18" s="2">
        <f t="shared" si="5"/>
        <v>33085.412500000013</v>
      </c>
      <c r="H18" s="2">
        <f t="shared" si="2"/>
        <v>1684.6874999999854</v>
      </c>
      <c r="I18" s="18">
        <f t="shared" si="6"/>
        <v>33139.779375000013</v>
      </c>
      <c r="J18" s="2">
        <f t="shared" si="3"/>
        <v>1630.3206249999857</v>
      </c>
      <c r="K18" s="19">
        <f t="shared" si="7"/>
        <v>25091.411140532775</v>
      </c>
      <c r="L18" s="19">
        <f t="shared" si="8"/>
        <v>41188.147609467254</v>
      </c>
      <c r="M18">
        <f t="shared" si="9"/>
        <v>1630.3206249999857</v>
      </c>
    </row>
    <row r="19" spans="1:13" x14ac:dyDescent="0.25">
      <c r="A19" s="1">
        <v>44805</v>
      </c>
      <c r="B19" s="2">
        <v>33953.300000000003</v>
      </c>
      <c r="C19" s="2">
        <f t="shared" si="0"/>
        <v>34614.449999999997</v>
      </c>
      <c r="D19" s="2">
        <f t="shared" si="0"/>
        <v>34263.324999999997</v>
      </c>
      <c r="E19">
        <f t="shared" si="1"/>
        <v>34965.574999999997</v>
      </c>
      <c r="F19" s="2">
        <f t="shared" si="4"/>
        <v>234.08333333333331</v>
      </c>
      <c r="G19" s="2">
        <f t="shared" si="5"/>
        <v>34507.745833333327</v>
      </c>
      <c r="H19" s="2">
        <f t="shared" si="2"/>
        <v>-554.44583333332412</v>
      </c>
      <c r="I19" s="18">
        <f t="shared" si="6"/>
        <v>34562.112708333327</v>
      </c>
      <c r="J19" s="2">
        <f t="shared" si="3"/>
        <v>-608.81270833332383</v>
      </c>
      <c r="K19" s="19">
        <f t="shared" si="7"/>
        <v>26513.744473866089</v>
      </c>
      <c r="L19" s="19">
        <f t="shared" si="8"/>
        <v>42610.480942800568</v>
      </c>
      <c r="M19">
        <f t="shared" si="9"/>
        <v>608.81270833332383</v>
      </c>
    </row>
    <row r="20" spans="1:13" x14ac:dyDescent="0.25">
      <c r="A20" s="1">
        <v>44835</v>
      </c>
      <c r="B20" s="2">
        <v>26416.799999999999</v>
      </c>
      <c r="C20" s="2">
        <f t="shared" si="0"/>
        <v>32440.5</v>
      </c>
      <c r="D20" s="2">
        <f t="shared" si="0"/>
        <v>33811.131250000006</v>
      </c>
      <c r="E20">
        <f t="shared" si="1"/>
        <v>31069.868749999994</v>
      </c>
      <c r="F20" s="2">
        <f t="shared" si="4"/>
        <v>-913.75416666667047</v>
      </c>
      <c r="G20" s="2">
        <f t="shared" si="5"/>
        <v>35199.658333333333</v>
      </c>
      <c r="H20" s="2">
        <f t="shared" si="2"/>
        <v>-8782.8583333333336</v>
      </c>
      <c r="I20" s="18">
        <f t="shared" si="6"/>
        <v>35254.025208333333</v>
      </c>
      <c r="J20" s="2">
        <f t="shared" si="3"/>
        <v>-8837.2252083333333</v>
      </c>
      <c r="K20" s="19">
        <f t="shared" si="7"/>
        <v>27205.656973866095</v>
      </c>
      <c r="L20" s="19">
        <f t="shared" si="8"/>
        <v>43302.393442800574</v>
      </c>
      <c r="M20">
        <f t="shared" si="9"/>
        <v>8837.2252083333333</v>
      </c>
    </row>
    <row r="21" spans="1:13" x14ac:dyDescent="0.25">
      <c r="A21" s="1">
        <v>44866</v>
      </c>
      <c r="B21" s="2">
        <v>28485.3</v>
      </c>
      <c r="C21" s="2">
        <f t="shared" si="0"/>
        <v>30906.375</v>
      </c>
      <c r="D21" s="2">
        <f t="shared" si="0"/>
        <v>33056.231249999997</v>
      </c>
      <c r="E21">
        <f t="shared" si="1"/>
        <v>28756.518750000003</v>
      </c>
      <c r="F21" s="2">
        <f t="shared" si="4"/>
        <v>-1433.2374999999979</v>
      </c>
      <c r="G21" s="2">
        <f t="shared" si="5"/>
        <v>30156.114583333325</v>
      </c>
      <c r="H21" s="2">
        <f t="shared" si="2"/>
        <v>-1670.8145833333256</v>
      </c>
      <c r="I21" s="18">
        <f t="shared" si="6"/>
        <v>30210.481458333325</v>
      </c>
      <c r="J21" s="2">
        <f t="shared" si="3"/>
        <v>-1725.1814583333253</v>
      </c>
      <c r="K21" s="19">
        <f t="shared" si="7"/>
        <v>22162.113223866087</v>
      </c>
      <c r="L21" s="19">
        <f t="shared" si="8"/>
        <v>38258.849692800562</v>
      </c>
      <c r="M21">
        <f t="shared" si="9"/>
        <v>1725.1814583333253</v>
      </c>
    </row>
    <row r="22" spans="1:13" x14ac:dyDescent="0.25">
      <c r="A22" s="1">
        <v>44896</v>
      </c>
      <c r="B22" s="2">
        <v>26334.9</v>
      </c>
      <c r="C22" s="2">
        <f t="shared" si="0"/>
        <v>28797.575000000004</v>
      </c>
      <c r="D22" s="2">
        <f t="shared" si="0"/>
        <v>31689.724999999999</v>
      </c>
      <c r="E22">
        <f t="shared" si="1"/>
        <v>25905.42500000001</v>
      </c>
      <c r="F22" s="2">
        <f t="shared" si="4"/>
        <v>-1928.099999999996</v>
      </c>
      <c r="G22" s="2">
        <f t="shared" si="5"/>
        <v>27323.281250000004</v>
      </c>
      <c r="H22" s="2">
        <f t="shared" si="2"/>
        <v>-988.38125000000218</v>
      </c>
      <c r="I22" s="18">
        <f t="shared" si="6"/>
        <v>27377.648125000003</v>
      </c>
      <c r="J22" s="2">
        <f t="shared" si="3"/>
        <v>-1042.7481250000019</v>
      </c>
      <c r="K22" s="19">
        <f t="shared" si="7"/>
        <v>19329.279890532765</v>
      </c>
      <c r="L22" s="19">
        <f t="shared" si="8"/>
        <v>35426.016359467241</v>
      </c>
      <c r="M22">
        <f t="shared" si="9"/>
        <v>1042.7481250000019</v>
      </c>
    </row>
    <row r="23" spans="1:13" x14ac:dyDescent="0.25">
      <c r="A23" s="1">
        <v>44927</v>
      </c>
      <c r="B23" s="2">
        <v>27844.7</v>
      </c>
      <c r="C23" s="2">
        <f t="shared" si="0"/>
        <v>27270.424999999999</v>
      </c>
      <c r="D23" s="2">
        <f t="shared" si="0"/>
        <v>29853.718750000004</v>
      </c>
      <c r="E23">
        <f t="shared" si="1"/>
        <v>24687.131249999995</v>
      </c>
      <c r="F23" s="2">
        <f t="shared" si="4"/>
        <v>-1722.1958333333362</v>
      </c>
      <c r="G23" s="2">
        <f t="shared" si="5"/>
        <v>23977.325000000015</v>
      </c>
      <c r="H23" s="2">
        <f t="shared" si="2"/>
        <v>3867.3749999999854</v>
      </c>
      <c r="I23" s="18">
        <f t="shared" si="6"/>
        <v>24031.691875000015</v>
      </c>
      <c r="J23" s="2">
        <f t="shared" si="3"/>
        <v>3813.0081249999857</v>
      </c>
      <c r="K23" s="19">
        <f t="shared" si="7"/>
        <v>15983.323640532777</v>
      </c>
      <c r="L23" s="19">
        <f t="shared" si="8"/>
        <v>32080.060109467253</v>
      </c>
      <c r="M23">
        <f t="shared" si="9"/>
        <v>3813.0081249999857</v>
      </c>
    </row>
    <row r="24" spans="1:13" x14ac:dyDescent="0.25">
      <c r="A24" s="1">
        <v>44958</v>
      </c>
      <c r="B24" s="2">
        <v>27601.1</v>
      </c>
      <c r="C24" s="2">
        <f t="shared" si="0"/>
        <v>27566.5</v>
      </c>
      <c r="D24" s="2">
        <f t="shared" si="0"/>
        <v>28635.21875</v>
      </c>
      <c r="E24">
        <f t="shared" si="1"/>
        <v>26497.78125</v>
      </c>
      <c r="F24" s="2">
        <f t="shared" si="4"/>
        <v>-712.47916666666663</v>
      </c>
      <c r="G24" s="2">
        <f t="shared" si="5"/>
        <v>22964.93541666666</v>
      </c>
      <c r="H24" s="2">
        <f t="shared" si="2"/>
        <v>4636.1645833333387</v>
      </c>
      <c r="I24" s="18">
        <f t="shared" si="6"/>
        <v>23019.30229166666</v>
      </c>
      <c r="J24" s="2">
        <f t="shared" si="3"/>
        <v>4581.797708333339</v>
      </c>
      <c r="K24" s="19">
        <f t="shared" si="7"/>
        <v>14970.934057199422</v>
      </c>
      <c r="L24" s="19">
        <f t="shared" si="8"/>
        <v>31067.670526133898</v>
      </c>
      <c r="M24">
        <f t="shared" si="9"/>
        <v>4581.797708333339</v>
      </c>
    </row>
    <row r="25" spans="1:13" x14ac:dyDescent="0.25">
      <c r="A25" s="1">
        <v>44986</v>
      </c>
      <c r="B25" s="2">
        <v>28988.1</v>
      </c>
      <c r="C25" s="2">
        <f t="shared" si="0"/>
        <v>27692.200000000004</v>
      </c>
      <c r="D25" s="2">
        <f t="shared" si="0"/>
        <v>27831.675000000003</v>
      </c>
      <c r="E25">
        <f t="shared" si="1"/>
        <v>27552.725000000006</v>
      </c>
      <c r="F25" s="2">
        <f t="shared" si="4"/>
        <v>-92.983333333332354</v>
      </c>
      <c r="G25" s="2">
        <f t="shared" si="5"/>
        <v>25785.302083333332</v>
      </c>
      <c r="H25" s="2">
        <f t="shared" si="2"/>
        <v>3202.7979166666664</v>
      </c>
      <c r="I25" s="18">
        <f t="shared" si="6"/>
        <v>25839.668958333332</v>
      </c>
      <c r="J25" s="2">
        <f t="shared" si="3"/>
        <v>3148.4310416666667</v>
      </c>
      <c r="K25" s="19">
        <f t="shared" si="7"/>
        <v>17791.300723866094</v>
      </c>
      <c r="L25" s="19">
        <f t="shared" si="8"/>
        <v>33888.03719280057</v>
      </c>
      <c r="M25">
        <f t="shared" si="9"/>
        <v>3148.4310416666667</v>
      </c>
    </row>
    <row r="26" spans="1:13" x14ac:dyDescent="0.25">
      <c r="A26" s="1">
        <v>45017</v>
      </c>
      <c r="B26" s="2">
        <v>26906.9</v>
      </c>
      <c r="C26" s="2">
        <f t="shared" si="0"/>
        <v>27835.199999999997</v>
      </c>
      <c r="D26" s="2">
        <f t="shared" si="0"/>
        <v>27591.081249999999</v>
      </c>
      <c r="E26">
        <f t="shared" si="1"/>
        <v>28079.318749999995</v>
      </c>
      <c r="F26" s="2">
        <f t="shared" si="4"/>
        <v>162.74583333333186</v>
      </c>
      <c r="G26" s="2">
        <f t="shared" si="5"/>
        <v>27459.741666666672</v>
      </c>
      <c r="H26" s="2">
        <f t="shared" si="2"/>
        <v>-552.84166666667079</v>
      </c>
      <c r="I26" s="18">
        <f t="shared" si="6"/>
        <v>27514.108541666672</v>
      </c>
      <c r="J26" s="2">
        <f t="shared" si="3"/>
        <v>-607.2085416666705</v>
      </c>
      <c r="K26" s="19">
        <f t="shared" si="7"/>
        <v>19465.740307199434</v>
      </c>
      <c r="L26" s="19">
        <f t="shared" si="8"/>
        <v>35562.47677613391</v>
      </c>
      <c r="M26">
        <f t="shared" si="9"/>
        <v>607.2085416666705</v>
      </c>
    </row>
    <row r="27" spans="1:13" x14ac:dyDescent="0.25">
      <c r="A27" s="1">
        <v>45047</v>
      </c>
      <c r="B27" s="2">
        <v>30363.1</v>
      </c>
      <c r="C27" s="2">
        <f t="shared" si="0"/>
        <v>28464.800000000003</v>
      </c>
      <c r="D27" s="2">
        <f t="shared" si="0"/>
        <v>27889.674999999999</v>
      </c>
      <c r="E27">
        <f t="shared" si="1"/>
        <v>29039.925000000007</v>
      </c>
      <c r="F27" s="2">
        <f t="shared" si="4"/>
        <v>383.41666666666907</v>
      </c>
      <c r="G27" s="2">
        <f t="shared" si="5"/>
        <v>28242.064583333326</v>
      </c>
      <c r="H27" s="2">
        <f t="shared" si="2"/>
        <v>2121.035416666673</v>
      </c>
      <c r="I27" s="18">
        <f t="shared" si="6"/>
        <v>28296.431458333325</v>
      </c>
      <c r="J27" s="2">
        <f t="shared" si="3"/>
        <v>2066.6685416666733</v>
      </c>
      <c r="K27" s="19">
        <f t="shared" si="7"/>
        <v>20248.063223866087</v>
      </c>
      <c r="L27" s="19">
        <f t="shared" si="8"/>
        <v>36344.799692800567</v>
      </c>
      <c r="M27">
        <f t="shared" si="9"/>
        <v>2066.6685416666733</v>
      </c>
    </row>
    <row r="28" spans="1:13" x14ac:dyDescent="0.25">
      <c r="A28" s="1">
        <v>45078</v>
      </c>
      <c r="B28" s="2">
        <v>32034.2</v>
      </c>
      <c r="C28" s="2">
        <f t="shared" si="0"/>
        <v>29573.075000000001</v>
      </c>
      <c r="D28" s="2">
        <f t="shared" si="0"/>
        <v>28391.318750000002</v>
      </c>
      <c r="E28">
        <f t="shared" si="1"/>
        <v>30754.831249999999</v>
      </c>
      <c r="F28" s="2">
        <f t="shared" si="4"/>
        <v>787.83749999999895</v>
      </c>
      <c r="G28" s="2">
        <f t="shared" si="5"/>
        <v>29423.341666666674</v>
      </c>
      <c r="H28" s="2">
        <f t="shared" si="2"/>
        <v>2610.8583333333263</v>
      </c>
      <c r="I28" s="18">
        <f t="shared" si="6"/>
        <v>29477.708541666674</v>
      </c>
      <c r="J28" s="2">
        <f t="shared" si="3"/>
        <v>2556.4914583333266</v>
      </c>
      <c r="K28" s="19">
        <f t="shared" si="7"/>
        <v>21429.340307199436</v>
      </c>
      <c r="L28" s="19">
        <f t="shared" si="8"/>
        <v>37526.076776133916</v>
      </c>
      <c r="M28">
        <f t="shared" si="9"/>
        <v>2556.4914583333266</v>
      </c>
    </row>
    <row r="29" spans="1:13" x14ac:dyDescent="0.25">
      <c r="A29" s="1">
        <v>45108</v>
      </c>
      <c r="B29" s="2">
        <v>28753.200000000001</v>
      </c>
      <c r="C29" s="2">
        <f t="shared" si="0"/>
        <v>29514.35</v>
      </c>
      <c r="D29" s="2">
        <f t="shared" si="0"/>
        <v>28846.856249999997</v>
      </c>
      <c r="E29">
        <f t="shared" si="1"/>
        <v>30181.84375</v>
      </c>
      <c r="F29" s="2">
        <f t="shared" si="4"/>
        <v>444.9958333333343</v>
      </c>
      <c r="G29" s="2">
        <f t="shared" si="5"/>
        <v>31542.668749999997</v>
      </c>
      <c r="H29" s="2">
        <f t="shared" si="2"/>
        <v>-2789.4687499999964</v>
      </c>
      <c r="I29" s="18">
        <f t="shared" si="6"/>
        <v>31597.035624999997</v>
      </c>
      <c r="J29" s="2">
        <f t="shared" si="3"/>
        <v>-2843.8356249999961</v>
      </c>
      <c r="K29" s="19">
        <f t="shared" si="7"/>
        <v>23548.667390532759</v>
      </c>
      <c r="L29" s="19">
        <f t="shared" si="8"/>
        <v>39645.403859467238</v>
      </c>
      <c r="M29">
        <f t="shared" si="9"/>
        <v>2843.8356249999961</v>
      </c>
    </row>
    <row r="30" spans="1:13" x14ac:dyDescent="0.25">
      <c r="A30" s="1">
        <v>45139</v>
      </c>
      <c r="B30" s="2">
        <v>25975</v>
      </c>
      <c r="C30" s="2">
        <f t="shared" si="0"/>
        <v>29281.375</v>
      </c>
      <c r="D30" s="2">
        <f t="shared" si="0"/>
        <v>29208.400000000001</v>
      </c>
      <c r="E30">
        <f t="shared" si="1"/>
        <v>29354.35</v>
      </c>
      <c r="F30" s="2">
        <f t="shared" si="4"/>
        <v>48.649999999999025</v>
      </c>
      <c r="G30" s="2">
        <f t="shared" si="5"/>
        <v>30626.839583333334</v>
      </c>
      <c r="H30" s="2">
        <f t="shared" si="2"/>
        <v>-4651.8395833333343</v>
      </c>
      <c r="I30" s="18">
        <f t="shared" si="6"/>
        <v>30681.206458333334</v>
      </c>
      <c r="J30" s="2">
        <f t="shared" si="3"/>
        <v>-4706.206458333334</v>
      </c>
      <c r="K30" s="19">
        <f t="shared" si="7"/>
        <v>22632.838223866096</v>
      </c>
      <c r="L30" s="19">
        <f t="shared" si="8"/>
        <v>38729.574692800576</v>
      </c>
      <c r="M30">
        <f t="shared" si="9"/>
        <v>4706.206458333334</v>
      </c>
    </row>
    <row r="31" spans="1:13" x14ac:dyDescent="0.25">
      <c r="A31" s="1">
        <v>45170</v>
      </c>
      <c r="B31" s="2">
        <v>27143.200000000001</v>
      </c>
      <c r="C31" s="2">
        <f t="shared" si="0"/>
        <v>28476.399999999998</v>
      </c>
      <c r="D31" s="2">
        <f t="shared" si="0"/>
        <v>29211.3</v>
      </c>
      <c r="E31">
        <f t="shared" si="1"/>
        <v>27741.499999999996</v>
      </c>
      <c r="F31" s="2">
        <f t="shared" si="4"/>
        <v>-489.9333333333343</v>
      </c>
      <c r="G31" s="2">
        <f t="shared" si="5"/>
        <v>29402.999999999996</v>
      </c>
      <c r="H31" s="2">
        <f t="shared" si="2"/>
        <v>-2259.7999999999956</v>
      </c>
      <c r="I31" s="18">
        <f t="shared" si="6"/>
        <v>29457.366874999996</v>
      </c>
      <c r="J31" s="2">
        <f t="shared" si="3"/>
        <v>-2314.1668749999953</v>
      </c>
      <c r="K31" s="19">
        <f t="shared" si="7"/>
        <v>21408.998640532758</v>
      </c>
      <c r="L31" s="19">
        <f t="shared" si="8"/>
        <v>37505.735109467234</v>
      </c>
      <c r="M31">
        <f t="shared" si="9"/>
        <v>2314.1668749999953</v>
      </c>
    </row>
    <row r="32" spans="1:13" x14ac:dyDescent="0.25">
      <c r="A32" s="1">
        <v>45200</v>
      </c>
      <c r="B32" s="2">
        <v>24166.1</v>
      </c>
      <c r="C32" s="2">
        <f t="shared" si="0"/>
        <v>26509.375</v>
      </c>
      <c r="D32" s="2">
        <f t="shared" si="0"/>
        <v>28445.375</v>
      </c>
      <c r="E32">
        <f t="shared" si="1"/>
        <v>24573.375</v>
      </c>
      <c r="F32" s="2">
        <f t="shared" si="4"/>
        <v>-1290.6666666666665</v>
      </c>
      <c r="G32" s="2">
        <f t="shared" si="5"/>
        <v>27251.566666666662</v>
      </c>
      <c r="H32" s="2">
        <f t="shared" si="2"/>
        <v>-3085.4666666666635</v>
      </c>
      <c r="I32" s="18">
        <f t="shared" si="6"/>
        <v>27305.933541666662</v>
      </c>
      <c r="J32" s="2">
        <f t="shared" si="3"/>
        <v>-3139.8335416666632</v>
      </c>
      <c r="K32" s="19">
        <f t="shared" si="7"/>
        <v>19257.565307199424</v>
      </c>
      <c r="L32" s="19">
        <f t="shared" si="8"/>
        <v>35354.3017761339</v>
      </c>
      <c r="M32">
        <f t="shared" si="9"/>
        <v>3139.8335416666632</v>
      </c>
    </row>
    <row r="33" spans="1:13" x14ac:dyDescent="0.25">
      <c r="A33" s="1">
        <v>45231</v>
      </c>
      <c r="B33" s="2">
        <v>22756.5</v>
      </c>
      <c r="C33" s="2">
        <f t="shared" si="0"/>
        <v>25010.199999999997</v>
      </c>
      <c r="D33" s="2">
        <f t="shared" si="0"/>
        <v>27319.337499999998</v>
      </c>
      <c r="E33">
        <f t="shared" si="1"/>
        <v>22701.062499999996</v>
      </c>
      <c r="F33" s="2">
        <f t="shared" si="4"/>
        <v>-1539.4250000000004</v>
      </c>
      <c r="G33" s="2">
        <f t="shared" si="5"/>
        <v>23282.708333333332</v>
      </c>
      <c r="H33" s="2">
        <f t="shared" si="2"/>
        <v>-526.20833333333212</v>
      </c>
      <c r="I33" s="18">
        <f t="shared" si="6"/>
        <v>23337.075208333332</v>
      </c>
      <c r="J33" s="2">
        <f t="shared" si="3"/>
        <v>-580.57520833333183</v>
      </c>
      <c r="K33" s="19">
        <f t="shared" si="7"/>
        <v>15288.706973866094</v>
      </c>
      <c r="L33" s="19">
        <f t="shared" si="8"/>
        <v>31385.44344280057</v>
      </c>
      <c r="M33">
        <f t="shared" si="9"/>
        <v>580.57520833333183</v>
      </c>
    </row>
    <row r="34" spans="1:13" x14ac:dyDescent="0.25">
      <c r="A34" s="1">
        <v>45261</v>
      </c>
      <c r="B34" s="2">
        <v>27706.400000000001</v>
      </c>
      <c r="C34" s="2">
        <f t="shared" si="0"/>
        <v>25443.050000000003</v>
      </c>
      <c r="D34" s="2">
        <f t="shared" si="0"/>
        <v>26359.756249999999</v>
      </c>
      <c r="E34">
        <f t="shared" si="1"/>
        <v>24526.343750000007</v>
      </c>
      <c r="F34" s="2">
        <f t="shared" si="4"/>
        <v>-611.13749999999709</v>
      </c>
      <c r="G34" s="2">
        <f t="shared" si="5"/>
        <v>21161.637499999997</v>
      </c>
      <c r="H34" s="2">
        <f t="shared" si="2"/>
        <v>6544.7625000000044</v>
      </c>
      <c r="I34" s="18">
        <f t="shared" si="6"/>
        <v>21216.004374999997</v>
      </c>
      <c r="J34" s="2">
        <f t="shared" si="3"/>
        <v>6490.3956250000047</v>
      </c>
      <c r="K34" s="19">
        <f t="shared" si="7"/>
        <v>13167.636140532759</v>
      </c>
      <c r="L34" s="19">
        <f t="shared" si="8"/>
        <v>29264.372609467235</v>
      </c>
      <c r="M34">
        <f t="shared" si="9"/>
        <v>6490.3956250000047</v>
      </c>
    </row>
    <row r="35" spans="1:13" x14ac:dyDescent="0.25">
      <c r="A35" s="1">
        <v>45292</v>
      </c>
      <c r="B35" s="2">
        <v>27323.5</v>
      </c>
      <c r="C35" s="2">
        <f t="shared" si="0"/>
        <v>25488.125</v>
      </c>
      <c r="D35" s="2">
        <f t="shared" si="0"/>
        <v>25612.6875</v>
      </c>
      <c r="E35">
        <f t="shared" si="1"/>
        <v>25363.5625</v>
      </c>
      <c r="F35" s="2">
        <f t="shared" si="4"/>
        <v>-83.041666666666657</v>
      </c>
      <c r="G35" s="2">
        <f t="shared" si="5"/>
        <v>23915.20625000001</v>
      </c>
      <c r="H35" s="2">
        <f t="shared" si="2"/>
        <v>3408.2937499999898</v>
      </c>
      <c r="I35" s="18">
        <f t="shared" si="6"/>
        <v>23969.57312500001</v>
      </c>
      <c r="J35" s="2">
        <f t="shared" si="3"/>
        <v>3353.9268749999901</v>
      </c>
      <c r="K35" s="19">
        <f t="shared" si="7"/>
        <v>15921.204890532772</v>
      </c>
      <c r="L35" s="19">
        <f t="shared" si="8"/>
        <v>32017.941359467248</v>
      </c>
      <c r="M35">
        <f t="shared" si="9"/>
        <v>3353.9268749999901</v>
      </c>
    </row>
    <row r="36" spans="1:13" x14ac:dyDescent="0.25">
      <c r="A36" s="1">
        <v>45323</v>
      </c>
      <c r="B36" s="2">
        <v>24273</v>
      </c>
      <c r="C36" s="2">
        <f t="shared" si="0"/>
        <v>25514.85</v>
      </c>
      <c r="D36" s="2">
        <f t="shared" si="0"/>
        <v>25364.056250000001</v>
      </c>
      <c r="E36">
        <f t="shared" si="1"/>
        <v>25665.643749999996</v>
      </c>
      <c r="F36" s="2">
        <f t="shared" si="4"/>
        <v>100.52916666666472</v>
      </c>
      <c r="G36" s="2">
        <f t="shared" si="5"/>
        <v>25280.520833333332</v>
      </c>
      <c r="H36" s="2">
        <f t="shared" si="2"/>
        <v>-1007.5208333333321</v>
      </c>
      <c r="I36" s="18">
        <f t="shared" si="6"/>
        <v>25334.887708333332</v>
      </c>
      <c r="J36" s="2">
        <f t="shared" si="3"/>
        <v>-1061.8877083333318</v>
      </c>
      <c r="K36" s="19">
        <f t="shared" si="7"/>
        <v>17286.519473866094</v>
      </c>
      <c r="L36" s="19">
        <f t="shared" si="8"/>
        <v>33383.25594280057</v>
      </c>
      <c r="M36">
        <f t="shared" si="9"/>
        <v>1061.8877083333318</v>
      </c>
    </row>
    <row r="37" spans="1:13" x14ac:dyDescent="0.25">
      <c r="A37" s="1">
        <v>45352</v>
      </c>
      <c r="B37" s="2">
        <v>21821.9</v>
      </c>
      <c r="C37" s="2">
        <f t="shared" si="0"/>
        <v>25281.199999999997</v>
      </c>
      <c r="D37" s="2">
        <f t="shared" si="0"/>
        <v>25431.806249999998</v>
      </c>
      <c r="E37">
        <f t="shared" si="1"/>
        <v>25130.593749999996</v>
      </c>
      <c r="F37" s="2">
        <f t="shared" si="4"/>
        <v>-100.40416666666715</v>
      </c>
      <c r="G37" s="2">
        <f t="shared" si="5"/>
        <v>25766.172916666659</v>
      </c>
      <c r="H37" s="2">
        <f t="shared" si="2"/>
        <v>-3944.2729166666577</v>
      </c>
      <c r="I37" s="18">
        <f t="shared" si="6"/>
        <v>25820.539791666659</v>
      </c>
      <c r="J37" s="2">
        <f t="shared" si="3"/>
        <v>-3998.6397916666574</v>
      </c>
      <c r="K37" s="19">
        <f t="shared" si="7"/>
        <v>17772.171557199421</v>
      </c>
      <c r="L37" s="19">
        <f t="shared" si="8"/>
        <v>33868.908026133897</v>
      </c>
      <c r="M37">
        <f t="shared" si="9"/>
        <v>3998.6397916666574</v>
      </c>
    </row>
    <row r="38" spans="1:13" x14ac:dyDescent="0.25">
      <c r="A38" s="1">
        <v>45383</v>
      </c>
      <c r="B38" s="2">
        <v>24698.6</v>
      </c>
      <c r="C38" s="2">
        <f t="shared" si="0"/>
        <v>24529.25</v>
      </c>
      <c r="D38" s="2">
        <f t="shared" si="0"/>
        <v>25203.356249999997</v>
      </c>
      <c r="E38">
        <f t="shared" si="1"/>
        <v>23855.143750000003</v>
      </c>
      <c r="F38" s="2">
        <f t="shared" si="4"/>
        <v>-449.40416666666471</v>
      </c>
      <c r="G38" s="2">
        <f t="shared" si="5"/>
        <v>25030.189583333329</v>
      </c>
      <c r="H38" s="2">
        <f t="shared" si="2"/>
        <v>-331.58958333333067</v>
      </c>
      <c r="I38" s="18">
        <f t="shared" si="6"/>
        <v>25084.556458333329</v>
      </c>
      <c r="J38" s="2">
        <f t="shared" si="3"/>
        <v>-385.95645833333037</v>
      </c>
      <c r="K38" s="19">
        <f t="shared" si="7"/>
        <v>17036.188223866091</v>
      </c>
      <c r="L38" s="19">
        <f t="shared" si="8"/>
        <v>33132.924692800567</v>
      </c>
      <c r="M38">
        <f t="shared" si="9"/>
        <v>385.95645833333037</v>
      </c>
    </row>
    <row r="39" spans="1:13" x14ac:dyDescent="0.25">
      <c r="A39" s="1">
        <v>45413</v>
      </c>
      <c r="B39" s="2">
        <v>26071.4</v>
      </c>
      <c r="C39" s="2">
        <f t="shared" si="0"/>
        <v>24216.224999999999</v>
      </c>
      <c r="D39" s="2">
        <f t="shared" si="0"/>
        <v>24885.381249999999</v>
      </c>
      <c r="E39">
        <f t="shared" si="1"/>
        <v>23547.068749999999</v>
      </c>
      <c r="F39" s="2">
        <f t="shared" si="4"/>
        <v>-446.10416666666663</v>
      </c>
      <c r="G39" s="2">
        <f t="shared" si="5"/>
        <v>23405.739583333339</v>
      </c>
      <c r="H39" s="2">
        <f t="shared" si="2"/>
        <v>2665.6604166666621</v>
      </c>
      <c r="I39" s="18">
        <f t="shared" si="6"/>
        <v>23460.106458333339</v>
      </c>
      <c r="J39" s="2">
        <f t="shared" si="3"/>
        <v>2611.2935416666623</v>
      </c>
      <c r="K39" s="19">
        <f t="shared" si="7"/>
        <v>15411.738223866101</v>
      </c>
      <c r="L39" s="19">
        <f t="shared" si="8"/>
        <v>31508.474692800577</v>
      </c>
      <c r="M39">
        <f t="shared" si="9"/>
        <v>2611.2935416666623</v>
      </c>
    </row>
    <row r="40" spans="1:13" x14ac:dyDescent="0.25">
      <c r="A40" s="1">
        <v>45444</v>
      </c>
      <c r="B40" s="2">
        <v>27516.6</v>
      </c>
      <c r="C40" s="2">
        <f t="shared" si="0"/>
        <v>25027.125</v>
      </c>
      <c r="D40" s="2">
        <f t="shared" si="0"/>
        <v>24763.449999999997</v>
      </c>
      <c r="E40">
        <f t="shared" si="1"/>
        <v>25290.800000000003</v>
      </c>
      <c r="F40" s="2">
        <f t="shared" si="4"/>
        <v>175.78333333333526</v>
      </c>
      <c r="G40" s="2">
        <f t="shared" si="5"/>
        <v>23100.964583333331</v>
      </c>
      <c r="H40" s="2">
        <f t="shared" si="2"/>
        <v>4415.6354166666679</v>
      </c>
      <c r="I40" s="18">
        <f t="shared" si="6"/>
        <v>23155.33145833333</v>
      </c>
      <c r="J40" s="2">
        <f t="shared" si="3"/>
        <v>4361.2685416666682</v>
      </c>
      <c r="K40" s="19">
        <f t="shared" si="7"/>
        <v>15106.963223866092</v>
      </c>
      <c r="L40" s="19">
        <f t="shared" si="8"/>
        <v>31203.699692800568</v>
      </c>
      <c r="M40">
        <f t="shared" si="9"/>
        <v>4361.2685416666682</v>
      </c>
    </row>
    <row r="41" spans="1:13" x14ac:dyDescent="0.25">
      <c r="A41" s="1">
        <v>45474</v>
      </c>
      <c r="B41" s="2">
        <v>27316.7</v>
      </c>
      <c r="C41" s="2">
        <f t="shared" si="0"/>
        <v>26400.825000000001</v>
      </c>
      <c r="D41" s="2">
        <f t="shared" si="0"/>
        <v>25043.356250000001</v>
      </c>
      <c r="E41">
        <f t="shared" si="1"/>
        <v>27758.293750000001</v>
      </c>
      <c r="F41" s="2">
        <f t="shared" si="4"/>
        <v>904.97916666666663</v>
      </c>
      <c r="G41" s="2">
        <f t="shared" si="5"/>
        <v>25466.583333333339</v>
      </c>
      <c r="H41" s="2">
        <f t="shared" si="2"/>
        <v>1850.1166666666613</v>
      </c>
      <c r="I41" s="18">
        <f t="shared" si="6"/>
        <v>25520.950208333339</v>
      </c>
      <c r="J41" s="2">
        <f t="shared" si="3"/>
        <v>1795.7497916666616</v>
      </c>
      <c r="K41" s="19">
        <f t="shared" si="7"/>
        <v>17472.581973866101</v>
      </c>
      <c r="L41" s="19">
        <f t="shared" si="8"/>
        <v>33569.318442800577</v>
      </c>
      <c r="M41">
        <f t="shared" si="9"/>
        <v>1795.7497916666616</v>
      </c>
    </row>
    <row r="42" spans="1:13" x14ac:dyDescent="0.25">
      <c r="A42" s="1">
        <v>45505</v>
      </c>
      <c r="B42" s="2">
        <v>26052.9</v>
      </c>
      <c r="C42" s="2">
        <f t="shared" si="0"/>
        <v>26739.4</v>
      </c>
      <c r="D42" s="2">
        <f t="shared" si="0"/>
        <v>25595.893750000003</v>
      </c>
      <c r="E42">
        <f t="shared" si="1"/>
        <v>27882.90625</v>
      </c>
      <c r="F42" s="2">
        <f t="shared" si="4"/>
        <v>762.33749999999895</v>
      </c>
      <c r="G42" s="2">
        <f t="shared" si="5"/>
        <v>28663.272916666669</v>
      </c>
      <c r="H42" s="2">
        <f t="shared" si="2"/>
        <v>-2610.3729166666672</v>
      </c>
      <c r="I42" s="18">
        <f t="shared" si="6"/>
        <v>28717.639791666668</v>
      </c>
      <c r="J42" s="2">
        <f t="shared" si="3"/>
        <v>-2664.7397916666669</v>
      </c>
      <c r="K42" s="19">
        <f t="shared" si="7"/>
        <v>20669.27155719943</v>
      </c>
      <c r="L42" s="19">
        <f t="shared" si="8"/>
        <v>36766.00802613391</v>
      </c>
      <c r="M42">
        <f t="shared" si="9"/>
        <v>2664.7397916666669</v>
      </c>
    </row>
    <row r="43" spans="1:13" x14ac:dyDescent="0.25">
      <c r="A43" s="1">
        <v>45536</v>
      </c>
      <c r="B43" s="2">
        <v>27472.6</v>
      </c>
      <c r="C43" s="2">
        <f t="shared" si="0"/>
        <v>27089.700000000004</v>
      </c>
      <c r="D43" s="2">
        <f t="shared" si="0"/>
        <v>26314.262500000004</v>
      </c>
      <c r="E43">
        <f t="shared" si="1"/>
        <v>27865.137500000004</v>
      </c>
      <c r="F43" s="2">
        <f t="shared" si="4"/>
        <v>516.95833333333326</v>
      </c>
      <c r="G43" s="2">
        <f t="shared" si="5"/>
        <v>28645.243749999998</v>
      </c>
      <c r="H43" s="2">
        <f t="shared" si="2"/>
        <v>-1172.6437499999993</v>
      </c>
      <c r="I43" s="18">
        <f t="shared" si="6"/>
        <v>28699.610624999998</v>
      </c>
      <c r="J43" s="2">
        <f t="shared" si="3"/>
        <v>-1227.010624999999</v>
      </c>
      <c r="K43" s="19">
        <f t="shared" si="7"/>
        <v>20651.24239053276</v>
      </c>
      <c r="L43" s="19">
        <f t="shared" si="8"/>
        <v>36747.978859467235</v>
      </c>
      <c r="M43">
        <f t="shared" si="9"/>
        <v>1227.010624999999</v>
      </c>
    </row>
    <row r="44" spans="1:13" x14ac:dyDescent="0.25">
      <c r="A44" s="1">
        <v>45566</v>
      </c>
      <c r="B44" s="2">
        <v>19272.7</v>
      </c>
      <c r="C44" s="2">
        <f t="shared" si="0"/>
        <v>25028.725000000002</v>
      </c>
      <c r="D44" s="2">
        <f t="shared" si="0"/>
        <v>26314.662500000006</v>
      </c>
      <c r="E44">
        <f t="shared" si="1"/>
        <v>23742.787499999999</v>
      </c>
      <c r="F44" s="2">
        <f t="shared" si="4"/>
        <v>-857.29166666666902</v>
      </c>
      <c r="G44" s="2">
        <f t="shared" si="5"/>
        <v>28382.095833333336</v>
      </c>
      <c r="H44" s="2">
        <f t="shared" si="2"/>
        <v>-9109.3958333333358</v>
      </c>
      <c r="I44" s="18">
        <f t="shared" si="6"/>
        <v>28436.462708333336</v>
      </c>
      <c r="J44" s="2">
        <f t="shared" si="3"/>
        <v>-9163.7627083333355</v>
      </c>
      <c r="K44" s="19">
        <f t="shared" si="7"/>
        <v>20388.094473866098</v>
      </c>
      <c r="L44" s="19">
        <f t="shared" si="8"/>
        <v>36484.830942800574</v>
      </c>
      <c r="M44">
        <f t="shared" si="9"/>
        <v>9163.7627083333355</v>
      </c>
    </row>
    <row r="45" spans="1:13" x14ac:dyDescent="0.25">
      <c r="A45" s="1">
        <v>45597</v>
      </c>
      <c r="B45" s="2">
        <v>23276.2</v>
      </c>
      <c r="C45" s="2">
        <f t="shared" si="0"/>
        <v>24018.6</v>
      </c>
      <c r="D45" s="2">
        <f t="shared" si="0"/>
        <v>25719.106250000004</v>
      </c>
      <c r="E45">
        <f t="shared" si="1"/>
        <v>22318.093749999993</v>
      </c>
      <c r="F45" s="2">
        <f t="shared" si="4"/>
        <v>-1133.6708333333372</v>
      </c>
      <c r="G45" s="2">
        <f t="shared" si="5"/>
        <v>22885.495833333331</v>
      </c>
      <c r="H45" s="2">
        <f t="shared" si="2"/>
        <v>390.70416666667006</v>
      </c>
      <c r="I45" s="18">
        <f t="shared" si="6"/>
        <v>22939.86270833333</v>
      </c>
      <c r="J45" s="2">
        <f t="shared" si="3"/>
        <v>336.33729166667035</v>
      </c>
      <c r="K45" s="19">
        <f t="shared" si="7"/>
        <v>14891.494473866092</v>
      </c>
      <c r="L45" s="19">
        <f t="shared" si="8"/>
        <v>30988.230942800568</v>
      </c>
      <c r="M45">
        <f t="shared" si="9"/>
        <v>336.33729166667035</v>
      </c>
    </row>
    <row r="46" spans="1:13" x14ac:dyDescent="0.25">
      <c r="A46" s="1">
        <v>45627</v>
      </c>
      <c r="B46" s="2">
        <v>25111</v>
      </c>
      <c r="C46" s="2">
        <f t="shared" si="0"/>
        <v>23783.125</v>
      </c>
      <c r="D46" s="2">
        <f t="shared" si="0"/>
        <v>24980.037499999999</v>
      </c>
      <c r="E46">
        <f t="shared" si="1"/>
        <v>22586.212500000001</v>
      </c>
      <c r="F46" s="2">
        <f t="shared" si="4"/>
        <v>-797.9416666666657</v>
      </c>
      <c r="G46" s="2">
        <f t="shared" si="5"/>
        <v>21184.422916666656</v>
      </c>
      <c r="H46" s="2">
        <f t="shared" si="2"/>
        <v>3926.5770833333445</v>
      </c>
      <c r="I46" s="18">
        <f t="shared" si="6"/>
        <v>21238.789791666655</v>
      </c>
      <c r="J46" s="2">
        <f t="shared" si="3"/>
        <v>3872.2102083333448</v>
      </c>
      <c r="K46" s="19">
        <f t="shared" si="7"/>
        <v>13190.421557199417</v>
      </c>
      <c r="L46" s="19">
        <f t="shared" si="8"/>
        <v>29287.158026133893</v>
      </c>
      <c r="M46">
        <f t="shared" si="9"/>
        <v>3872.2102083333448</v>
      </c>
    </row>
    <row r="47" spans="1:13" x14ac:dyDescent="0.25">
      <c r="A47" s="1">
        <v>45658</v>
      </c>
      <c r="B47" s="2">
        <v>21198.400000000001</v>
      </c>
      <c r="C47" s="2">
        <f t="shared" si="0"/>
        <v>22214.574999999997</v>
      </c>
      <c r="D47" s="2">
        <f t="shared" si="0"/>
        <v>23761.256249999999</v>
      </c>
      <c r="E47">
        <f t="shared" si="1"/>
        <v>20667.893749999996</v>
      </c>
      <c r="F47" s="2">
        <f t="shared" si="4"/>
        <v>-1031.1208333333343</v>
      </c>
      <c r="G47" s="2">
        <f t="shared" si="5"/>
        <v>21788.270833333336</v>
      </c>
      <c r="H47" s="2">
        <f t="shared" si="2"/>
        <v>-589.8708333333343</v>
      </c>
      <c r="I47" s="18">
        <f t="shared" si="6"/>
        <v>21842.637708333335</v>
      </c>
      <c r="J47" s="2">
        <f t="shared" si="3"/>
        <v>-644.23770833333401</v>
      </c>
      <c r="K47" s="19">
        <f t="shared" si="7"/>
        <v>13794.269473866098</v>
      </c>
      <c r="L47" s="19">
        <f t="shared" si="8"/>
        <v>29891.005942800573</v>
      </c>
      <c r="M47">
        <f t="shared" si="9"/>
        <v>644.23770833333401</v>
      </c>
    </row>
    <row r="48" spans="1:13" x14ac:dyDescent="0.25">
      <c r="A48" s="1">
        <v>45689</v>
      </c>
      <c r="B48" s="2">
        <v>15355.3</v>
      </c>
      <c r="C48" s="2">
        <f t="shared" si="0"/>
        <v>21235.225000000002</v>
      </c>
      <c r="D48" s="2">
        <f t="shared" si="0"/>
        <v>22812.881249999999</v>
      </c>
      <c r="E48">
        <f t="shared" si="1"/>
        <v>19657.568750000006</v>
      </c>
      <c r="F48" s="2">
        <f t="shared" si="4"/>
        <v>-1051.7708333333308</v>
      </c>
      <c r="G48" s="2">
        <f t="shared" si="5"/>
        <v>19636.772916666661</v>
      </c>
      <c r="H48" s="2">
        <f t="shared" si="2"/>
        <v>-4281.4729166666621</v>
      </c>
      <c r="I48" s="18">
        <f t="shared" si="6"/>
        <v>19691.139791666661</v>
      </c>
      <c r="J48" s="2">
        <f t="shared" si="3"/>
        <v>-4335.8397916666618</v>
      </c>
      <c r="K48" s="19">
        <f t="shared" si="7"/>
        <v>11642.771557199423</v>
      </c>
      <c r="L48" s="19">
        <f t="shared" si="8"/>
        <v>27739.508026133899</v>
      </c>
      <c r="M48">
        <f t="shared" si="9"/>
        <v>4335.8397916666618</v>
      </c>
    </row>
    <row r="49" spans="1:13" x14ac:dyDescent="0.25">
      <c r="A49" s="1">
        <v>45717</v>
      </c>
      <c r="B49" s="2">
        <v>13494.8</v>
      </c>
      <c r="C49" s="2">
        <f t="shared" si="0"/>
        <v>18789.875</v>
      </c>
      <c r="D49" s="2">
        <f t="shared" si="0"/>
        <v>21505.7</v>
      </c>
      <c r="E49">
        <f t="shared" si="1"/>
        <v>16074.05</v>
      </c>
      <c r="F49" s="2">
        <f t="shared" si="4"/>
        <v>-1810.5500000000004</v>
      </c>
      <c r="G49" s="2">
        <f t="shared" si="5"/>
        <v>18605.797916666674</v>
      </c>
      <c r="H49" s="2">
        <f t="shared" si="2"/>
        <v>-5110.9979166666744</v>
      </c>
      <c r="I49" s="18">
        <f t="shared" si="6"/>
        <v>18660.164791666673</v>
      </c>
      <c r="J49" s="2">
        <f t="shared" si="3"/>
        <v>-5165.3647916666741</v>
      </c>
      <c r="K49" s="19">
        <f t="shared" si="7"/>
        <v>10611.796557199435</v>
      </c>
      <c r="L49" s="19">
        <f t="shared" si="8"/>
        <v>26708.533026133911</v>
      </c>
      <c r="M49">
        <f t="shared" si="9"/>
        <v>5165.3647916666741</v>
      </c>
    </row>
    <row r="50" spans="1:13" x14ac:dyDescent="0.25">
      <c r="A50" s="1">
        <v>45748</v>
      </c>
      <c r="B50" s="2">
        <v>16201.6</v>
      </c>
      <c r="C50" s="2">
        <f t="shared" si="0"/>
        <v>16562.525000000001</v>
      </c>
      <c r="D50" s="2">
        <f t="shared" si="0"/>
        <v>19700.550000000003</v>
      </c>
      <c r="E50">
        <f t="shared" si="1"/>
        <v>13424.5</v>
      </c>
      <c r="F50" s="2">
        <f t="shared" si="4"/>
        <v>-2092.0166666666673</v>
      </c>
      <c r="G50" s="2">
        <f t="shared" si="5"/>
        <v>14263.499999999998</v>
      </c>
      <c r="H50" s="2">
        <f t="shared" si="2"/>
        <v>1938.1000000000022</v>
      </c>
      <c r="I50" s="18">
        <f t="shared" si="6"/>
        <v>14317.866874999998</v>
      </c>
      <c r="J50" s="2">
        <f t="shared" si="3"/>
        <v>1883.7331250000025</v>
      </c>
      <c r="K50" s="19">
        <f t="shared" si="7"/>
        <v>6269.4986405327591</v>
      </c>
      <c r="L50" s="19">
        <f t="shared" si="8"/>
        <v>22366.235109467238</v>
      </c>
      <c r="M50">
        <f t="shared" si="9"/>
        <v>1883.7331250000025</v>
      </c>
    </row>
    <row r="51" spans="1:13" x14ac:dyDescent="0.25">
      <c r="A51" s="1">
        <v>45778</v>
      </c>
      <c r="B51" s="2">
        <v>20453.5</v>
      </c>
      <c r="C51" s="2">
        <f t="shared" si="0"/>
        <v>16376.3</v>
      </c>
      <c r="D51" s="2">
        <f t="shared" si="0"/>
        <v>18240.981250000001</v>
      </c>
      <c r="E51">
        <f t="shared" si="1"/>
        <v>14511.618749999998</v>
      </c>
      <c r="F51" s="2">
        <f t="shared" si="4"/>
        <v>-1243.1208333333343</v>
      </c>
      <c r="G51" s="2">
        <f t="shared" si="5"/>
        <v>11332.483333333334</v>
      </c>
      <c r="H51" s="2">
        <f t="shared" si="2"/>
        <v>9121.0166666666664</v>
      </c>
      <c r="I51" s="18">
        <f t="shared" si="6"/>
        <v>11386.850208333333</v>
      </c>
      <c r="J51" s="2">
        <f t="shared" si="3"/>
        <v>9066.6497916666667</v>
      </c>
      <c r="K51" s="19">
        <f t="shared" si="7"/>
        <v>3338.4819738660944</v>
      </c>
      <c r="L51" s="19">
        <f t="shared" si="8"/>
        <v>19435.218442800571</v>
      </c>
      <c r="M51">
        <f t="shared" si="9"/>
        <v>9066.6497916666667</v>
      </c>
    </row>
    <row r="52" spans="1:13" x14ac:dyDescent="0.25">
      <c r="A52" s="1">
        <v>45809</v>
      </c>
      <c r="B52" s="2">
        <v>20186.900000000001</v>
      </c>
      <c r="C52" s="2">
        <f t="shared" si="0"/>
        <v>17584.2</v>
      </c>
      <c r="D52" s="2">
        <f t="shared" si="0"/>
        <v>17328.224999999999</v>
      </c>
      <c r="E52">
        <f t="shared" si="1"/>
        <v>17840.175000000003</v>
      </c>
      <c r="F52" s="2">
        <f t="shared" si="4"/>
        <v>170.65000000000146</v>
      </c>
      <c r="G52" s="2">
        <f t="shared" si="5"/>
        <v>13268.497916666664</v>
      </c>
      <c r="H52" s="2">
        <f t="shared" si="2"/>
        <v>6918.4020833333379</v>
      </c>
      <c r="I52" s="18">
        <f t="shared" si="6"/>
        <v>13322.864791666663</v>
      </c>
      <c r="J52" s="2">
        <f t="shared" si="3"/>
        <v>6864.0352083333382</v>
      </c>
      <c r="K52" s="19">
        <f t="shared" si="7"/>
        <v>5274.4965571994244</v>
      </c>
      <c r="L52" s="19">
        <f t="shared" si="8"/>
        <v>21371.233026133901</v>
      </c>
      <c r="M52">
        <f t="shared" si="9"/>
        <v>6864.0352083333382</v>
      </c>
    </row>
    <row r="53" spans="1:13" x14ac:dyDescent="0.25">
      <c r="A53" s="1">
        <v>45839</v>
      </c>
      <c r="B53" s="2">
        <v>13949.1</v>
      </c>
      <c r="C53" s="2">
        <f t="shared" si="0"/>
        <v>17697.775000000001</v>
      </c>
      <c r="D53" s="2">
        <f t="shared" si="0"/>
        <v>17055.199999999997</v>
      </c>
      <c r="E53">
        <f t="shared" si="1"/>
        <v>18340.350000000006</v>
      </c>
      <c r="F53" s="2">
        <f t="shared" si="4"/>
        <v>428.38333333333622</v>
      </c>
      <c r="G53" s="2">
        <f t="shared" si="5"/>
        <v>18010.825000000004</v>
      </c>
      <c r="H53" s="2">
        <f t="shared" si="2"/>
        <v>-4061.725000000004</v>
      </c>
      <c r="I53" s="18">
        <f t="shared" si="6"/>
        <v>18065.191875000004</v>
      </c>
      <c r="J53" s="2">
        <f t="shared" si="3"/>
        <v>-4116.0918750000037</v>
      </c>
      <c r="K53" s="19">
        <f t="shared" si="7"/>
        <v>10016.823640532766</v>
      </c>
      <c r="L53" s="19">
        <f t="shared" si="8"/>
        <v>26113.560109467242</v>
      </c>
      <c r="M53">
        <f t="shared" si="9"/>
        <v>4116.0918750000037</v>
      </c>
    </row>
    <row r="54" spans="1:13" x14ac:dyDescent="0.25">
      <c r="A54" s="1">
        <v>45870</v>
      </c>
      <c r="B54" s="2">
        <v>12749.4</v>
      </c>
      <c r="C54" s="2">
        <f t="shared" si="0"/>
        <v>16834.724999999999</v>
      </c>
      <c r="D54" s="2">
        <f t="shared" si="0"/>
        <v>17123.25</v>
      </c>
      <c r="E54">
        <f t="shared" si="1"/>
        <v>16546.199999999997</v>
      </c>
      <c r="F54" s="2">
        <f t="shared" si="4"/>
        <v>-192.35000000000096</v>
      </c>
      <c r="G54" s="2">
        <f t="shared" si="5"/>
        <v>18768.733333333341</v>
      </c>
      <c r="H54" s="2">
        <f t="shared" si="2"/>
        <v>-6019.3333333333412</v>
      </c>
      <c r="I54" s="18">
        <f t="shared" si="6"/>
        <v>18823.100208333341</v>
      </c>
      <c r="J54" s="2">
        <f t="shared" si="3"/>
        <v>-6073.7002083333409</v>
      </c>
      <c r="K54" s="19">
        <f t="shared" si="7"/>
        <v>10774.731973866103</v>
      </c>
      <c r="L54" s="19">
        <f t="shared" si="8"/>
        <v>26871.468442800578</v>
      </c>
      <c r="M54">
        <f t="shared" si="9"/>
        <v>6073.7002083333409</v>
      </c>
    </row>
    <row r="55" spans="1:13" x14ac:dyDescent="0.25">
      <c r="A55" s="1">
        <v>45901</v>
      </c>
      <c r="B55" s="2">
        <v>13183.5</v>
      </c>
      <c r="C55" s="2">
        <f t="shared" si="0"/>
        <v>15017.225</v>
      </c>
      <c r="D55" s="2">
        <f t="shared" si="0"/>
        <v>16783.481250000001</v>
      </c>
      <c r="E55">
        <f t="shared" si="1"/>
        <v>13250.96875</v>
      </c>
      <c r="F55" s="2">
        <f t="shared" si="4"/>
        <v>-1177.5041666666668</v>
      </c>
      <c r="G55" s="2">
        <f t="shared" si="5"/>
        <v>16353.849999999997</v>
      </c>
      <c r="H55" s="2">
        <f t="shared" si="2"/>
        <v>-3170.3499999999967</v>
      </c>
      <c r="I55" s="18">
        <f t="shared" si="6"/>
        <v>16408.216874999998</v>
      </c>
      <c r="J55" s="2">
        <f t="shared" si="3"/>
        <v>-3224.7168749999983</v>
      </c>
      <c r="K55" s="19">
        <f t="shared" si="7"/>
        <v>8359.8486405327603</v>
      </c>
      <c r="L55" s="19">
        <f t="shared" si="8"/>
        <v>24456.585109467236</v>
      </c>
      <c r="M55">
        <f t="shared" si="9"/>
        <v>3224.7168749999983</v>
      </c>
    </row>
    <row r="56" spans="1:13" x14ac:dyDescent="0.25">
      <c r="A56" s="1">
        <v>45931</v>
      </c>
      <c r="B56" s="2">
        <v>13221</v>
      </c>
      <c r="C56" s="2">
        <f t="shared" si="0"/>
        <v>13275.75</v>
      </c>
      <c r="D56" s="2">
        <f t="shared" si="0"/>
        <v>15706.36875</v>
      </c>
      <c r="E56">
        <f t="shared" si="1"/>
        <v>10845.13125</v>
      </c>
      <c r="F56" s="2">
        <f t="shared" si="4"/>
        <v>-1620.4124999999997</v>
      </c>
      <c r="G56" s="2">
        <f t="shared" si="5"/>
        <v>12073.464583333332</v>
      </c>
      <c r="H56" s="2">
        <f t="shared" si="2"/>
        <v>1147.5354166666675</v>
      </c>
      <c r="I56" s="18">
        <f t="shared" si="6"/>
        <v>12127.831458333332</v>
      </c>
      <c r="J56" s="2">
        <f t="shared" si="3"/>
        <v>1093.1685416666678</v>
      </c>
      <c r="K56" s="19">
        <f t="shared" si="7"/>
        <v>4079.4632238660934</v>
      </c>
      <c r="L56" s="19">
        <f t="shared" si="8"/>
        <v>20176.199692800572</v>
      </c>
      <c r="M56">
        <f t="shared" si="9"/>
        <v>1093.1685416666678</v>
      </c>
    </row>
    <row r="57" spans="1:13" x14ac:dyDescent="0.25">
      <c r="A57" s="1">
        <v>45962</v>
      </c>
      <c r="B57" s="2">
        <v>18164.099999999999</v>
      </c>
      <c r="C57" s="2">
        <f t="shared" si="0"/>
        <v>14329.5</v>
      </c>
      <c r="D57" s="2">
        <f t="shared" si="0"/>
        <v>14864.3</v>
      </c>
      <c r="E57">
        <f t="shared" si="1"/>
        <v>13794.7</v>
      </c>
      <c r="F57" s="2">
        <f t="shared" si="4"/>
        <v>-356.53333333333285</v>
      </c>
      <c r="G57" s="2">
        <f t="shared" si="5"/>
        <v>9224.71875</v>
      </c>
      <c r="H57" s="2">
        <f t="shared" si="2"/>
        <v>8939.3812499999985</v>
      </c>
      <c r="I57" s="18">
        <f t="shared" si="6"/>
        <v>9279.0856249999997</v>
      </c>
      <c r="J57" s="2">
        <f t="shared" si="3"/>
        <v>8885.0143749999988</v>
      </c>
      <c r="K57" s="19">
        <f t="shared" si="7"/>
        <v>1230.7173905327609</v>
      </c>
      <c r="L57" s="19">
        <f t="shared" si="8"/>
        <v>17327.453859467238</v>
      </c>
      <c r="M57">
        <f t="shared" si="9"/>
        <v>8885.0143749999988</v>
      </c>
    </row>
    <row r="58" spans="1:13" x14ac:dyDescent="0.25">
      <c r="A58" s="1">
        <v>45992</v>
      </c>
      <c r="B58" s="2">
        <v>18027.400000000001</v>
      </c>
      <c r="C58" s="2">
        <f t="shared" si="0"/>
        <v>15649</v>
      </c>
      <c r="D58" s="2">
        <f t="shared" si="0"/>
        <v>14567.86875</v>
      </c>
      <c r="E58">
        <f t="shared" si="1"/>
        <v>16730.131249999999</v>
      </c>
      <c r="F58" s="2">
        <f t="shared" si="4"/>
        <v>720.75416666666683</v>
      </c>
      <c r="G58" s="2">
        <f t="shared" si="5"/>
        <v>13438.166666666668</v>
      </c>
      <c r="H58" s="2">
        <f t="shared" si="2"/>
        <v>4589.2333333333336</v>
      </c>
      <c r="I58" s="18">
        <f t="shared" si="6"/>
        <v>13492.533541666668</v>
      </c>
      <c r="J58" s="2">
        <f t="shared" si="3"/>
        <v>4534.8664583333339</v>
      </c>
      <c r="K58" s="19">
        <f t="shared" si="7"/>
        <v>5444.1653071994288</v>
      </c>
      <c r="L58" s="19">
        <f t="shared" si="8"/>
        <v>21540.901776133906</v>
      </c>
      <c r="M58">
        <f t="shared" si="9"/>
        <v>4534.8664583333339</v>
      </c>
    </row>
    <row r="59" spans="1:13" x14ac:dyDescent="0.25">
      <c r="A59" s="1">
        <v>46023</v>
      </c>
      <c r="B59" s="2">
        <v>18065.5</v>
      </c>
      <c r="C59" s="2">
        <f t="shared" si="0"/>
        <v>16869.5</v>
      </c>
      <c r="D59" s="2">
        <f t="shared" si="0"/>
        <v>15030.9375</v>
      </c>
      <c r="E59">
        <f t="shared" si="1"/>
        <v>18708.0625</v>
      </c>
      <c r="F59" s="2">
        <f t="shared" si="4"/>
        <v>1225.7083333333333</v>
      </c>
      <c r="G59" s="2">
        <f t="shared" si="5"/>
        <v>17450.885416666664</v>
      </c>
      <c r="H59" s="2">
        <f t="shared" si="2"/>
        <v>614.61458333333576</v>
      </c>
      <c r="I59" s="18">
        <f t="shared" si="6"/>
        <v>17505.252291666664</v>
      </c>
      <c r="J59" s="2">
        <f t="shared" si="3"/>
        <v>560.24770833333605</v>
      </c>
      <c r="K59" s="19">
        <f t="shared" si="7"/>
        <v>9456.884057199426</v>
      </c>
      <c r="L59" s="19">
        <f t="shared" si="8"/>
        <v>25553.620526133902</v>
      </c>
      <c r="M59">
        <f t="shared" si="9"/>
        <v>560.24770833333605</v>
      </c>
    </row>
    <row r="60" spans="1:13" x14ac:dyDescent="0.25">
      <c r="A60" s="1">
        <v>46054</v>
      </c>
      <c r="B60" s="2">
        <v>12633.1</v>
      </c>
      <c r="C60" s="2">
        <f t="shared" si="0"/>
        <v>16722.525000000001</v>
      </c>
      <c r="D60" s="2">
        <f t="shared" si="0"/>
        <v>15892.63125</v>
      </c>
      <c r="E60">
        <f t="shared" si="1"/>
        <v>17552.418750000004</v>
      </c>
      <c r="F60" s="2">
        <f t="shared" si="4"/>
        <v>553.26250000000073</v>
      </c>
      <c r="G60" s="2">
        <f t="shared" si="5"/>
        <v>19933.770833333332</v>
      </c>
      <c r="H60" s="2">
        <f t="shared" si="2"/>
        <v>-7300.6708333333318</v>
      </c>
      <c r="I60" s="18">
        <f t="shared" si="6"/>
        <v>19988.137708333332</v>
      </c>
      <c r="J60" s="2">
        <f t="shared" si="3"/>
        <v>-7355.0377083333315</v>
      </c>
      <c r="K60" s="19">
        <f t="shared" si="7"/>
        <v>11939.769473866094</v>
      </c>
      <c r="L60" s="19">
        <f t="shared" si="8"/>
        <v>28036.50594280057</v>
      </c>
      <c r="M60">
        <f t="shared" si="9"/>
        <v>7355.0377083333315</v>
      </c>
    </row>
    <row r="61" spans="1:13" x14ac:dyDescent="0.25">
      <c r="A61" s="1">
        <v>46082</v>
      </c>
      <c r="B61" s="2">
        <v>17500.8</v>
      </c>
      <c r="C61" s="2">
        <f t="shared" si="0"/>
        <v>16556.7</v>
      </c>
      <c r="D61" s="2">
        <f t="shared" si="0"/>
        <v>16449.431250000001</v>
      </c>
      <c r="E61" s="20">
        <f t="shared" si="1"/>
        <v>16663.96875</v>
      </c>
      <c r="F61" s="21">
        <f t="shared" si="4"/>
        <v>71.512499999999505</v>
      </c>
      <c r="G61" s="2">
        <f t="shared" si="5"/>
        <v>18105.681250000005</v>
      </c>
      <c r="H61" s="2">
        <f t="shared" si="2"/>
        <v>-604.88125000000582</v>
      </c>
      <c r="I61" s="18">
        <f t="shared" si="6"/>
        <v>18160.048125000005</v>
      </c>
      <c r="J61" s="2">
        <f t="shared" si="3"/>
        <v>-659.24812500000553</v>
      </c>
      <c r="K61" s="19">
        <f t="shared" si="7"/>
        <v>10111.679890532767</v>
      </c>
      <c r="L61" s="19">
        <f t="shared" si="8"/>
        <v>26208.416359467243</v>
      </c>
      <c r="M61">
        <f t="shared" si="9"/>
        <v>659.24812500000553</v>
      </c>
    </row>
    <row r="62" spans="1:13" x14ac:dyDescent="0.25">
      <c r="A62" s="1">
        <v>46113</v>
      </c>
      <c r="B62" s="2">
        <v>1</v>
      </c>
      <c r="G62" s="2">
        <f>$E$61+B62*$F$61</f>
        <v>16735.481250000001</v>
      </c>
      <c r="H62" s="2"/>
      <c r="I62" s="18">
        <f t="shared" si="6"/>
        <v>16789.848125</v>
      </c>
      <c r="J62" s="2"/>
      <c r="K62" s="6"/>
      <c r="L62" s="6"/>
    </row>
    <row r="63" spans="1:13" x14ac:dyDescent="0.25">
      <c r="A63" s="1">
        <v>46143</v>
      </c>
      <c r="B63" s="2">
        <v>2</v>
      </c>
      <c r="G63" s="2">
        <f t="shared" ref="G63:G73" si="10">$E$61+B63*$F$61</f>
        <v>16806.993749999998</v>
      </c>
      <c r="H63" s="2"/>
      <c r="I63" s="18">
        <f t="shared" si="6"/>
        <v>16861.360624999998</v>
      </c>
      <c r="J63" s="2"/>
      <c r="K63" s="6"/>
      <c r="L63" s="6"/>
    </row>
    <row r="64" spans="1:13" x14ac:dyDescent="0.25">
      <c r="A64" s="1">
        <v>46174</v>
      </c>
      <c r="B64" s="2">
        <v>3</v>
      </c>
      <c r="G64" s="2">
        <f t="shared" si="10"/>
        <v>16878.506249999999</v>
      </c>
      <c r="I64" s="18">
        <f t="shared" si="6"/>
        <v>16932.873124999998</v>
      </c>
    </row>
    <row r="65" spans="1:9" x14ac:dyDescent="0.25">
      <c r="A65" s="1">
        <v>46204</v>
      </c>
      <c r="B65" s="2">
        <v>4</v>
      </c>
      <c r="G65" s="2">
        <f t="shared" si="10"/>
        <v>16950.018749999999</v>
      </c>
      <c r="I65" s="18">
        <f t="shared" si="6"/>
        <v>17004.385624999999</v>
      </c>
    </row>
    <row r="66" spans="1:9" x14ac:dyDescent="0.25">
      <c r="A66" s="1">
        <v>46235</v>
      </c>
      <c r="B66" s="2">
        <v>5</v>
      </c>
      <c r="G66" s="2">
        <f t="shared" si="10"/>
        <v>17021.531249999996</v>
      </c>
      <c r="I66" s="18">
        <f t="shared" si="6"/>
        <v>17075.898124999996</v>
      </c>
    </row>
    <row r="67" spans="1:9" x14ac:dyDescent="0.25">
      <c r="A67" s="1">
        <v>46266</v>
      </c>
      <c r="B67" s="2">
        <v>6</v>
      </c>
      <c r="G67" s="2">
        <f t="shared" si="10"/>
        <v>17093.043749999997</v>
      </c>
      <c r="I67" s="18">
        <f t="shared" si="6"/>
        <v>17147.410624999997</v>
      </c>
    </row>
    <row r="68" spans="1:9" x14ac:dyDescent="0.25">
      <c r="A68" s="1">
        <v>46296</v>
      </c>
      <c r="B68" s="2">
        <v>7</v>
      </c>
      <c r="G68" s="2">
        <f t="shared" si="10"/>
        <v>17164.556249999998</v>
      </c>
      <c r="I68" s="18">
        <f t="shared" si="6"/>
        <v>17218.923124999998</v>
      </c>
    </row>
    <row r="69" spans="1:9" x14ac:dyDescent="0.25">
      <c r="A69" s="1">
        <v>46327</v>
      </c>
      <c r="B69" s="2">
        <v>8</v>
      </c>
      <c r="G69" s="2">
        <f t="shared" si="10"/>
        <v>17236.068749999995</v>
      </c>
      <c r="I69" s="18">
        <f t="shared" si="6"/>
        <v>17290.435624999995</v>
      </c>
    </row>
    <row r="70" spans="1:9" x14ac:dyDescent="0.25">
      <c r="A70" s="1">
        <v>46357</v>
      </c>
      <c r="B70" s="2">
        <v>9</v>
      </c>
      <c r="G70" s="2">
        <f t="shared" si="10"/>
        <v>17307.581249999996</v>
      </c>
      <c r="I70" s="18">
        <f t="shared" si="6"/>
        <v>17361.948124999995</v>
      </c>
    </row>
    <row r="71" spans="1:9" x14ac:dyDescent="0.25">
      <c r="A71" s="1">
        <v>46388</v>
      </c>
      <c r="B71" s="2">
        <v>10</v>
      </c>
      <c r="G71" s="2">
        <f t="shared" si="10"/>
        <v>17379.093749999996</v>
      </c>
      <c r="I71" s="18">
        <f t="shared" si="6"/>
        <v>17433.460624999996</v>
      </c>
    </row>
    <row r="72" spans="1:9" x14ac:dyDescent="0.25">
      <c r="A72" s="1">
        <v>46419</v>
      </c>
      <c r="B72" s="2">
        <v>11</v>
      </c>
      <c r="G72" s="2">
        <f t="shared" si="10"/>
        <v>17450.606249999993</v>
      </c>
      <c r="I72" s="18">
        <f t="shared" si="6"/>
        <v>17504.973124999993</v>
      </c>
    </row>
    <row r="73" spans="1:9" x14ac:dyDescent="0.25">
      <c r="A73" s="1">
        <v>46447</v>
      </c>
      <c r="B73" s="2">
        <v>12</v>
      </c>
      <c r="G73" s="2">
        <f t="shared" si="10"/>
        <v>17522.118749999994</v>
      </c>
      <c r="I73" s="18">
        <f t="shared" si="6"/>
        <v>17576.485624999994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8C744-58F2-4D67-AA49-6BEF88D04A56}">
  <dimension ref="A1:J53"/>
  <sheetViews>
    <sheetView workbookViewId="0">
      <selection activeCell="N29" sqref="N29"/>
    </sheetView>
  </sheetViews>
  <sheetFormatPr defaultRowHeight="14.3" x14ac:dyDescent="0.25"/>
  <sheetData>
    <row r="1" spans="1:10" x14ac:dyDescent="0.25">
      <c r="A1" t="s">
        <v>21</v>
      </c>
      <c r="B1">
        <v>0</v>
      </c>
      <c r="D1" t="s">
        <v>24</v>
      </c>
      <c r="G1" t="s">
        <v>26</v>
      </c>
      <c r="I1" t="s">
        <v>7</v>
      </c>
    </row>
    <row r="2" spans="1:10" ht="14.95" thickBot="1" x14ac:dyDescent="0.3"/>
    <row r="3" spans="1:10" ht="14.95" thickTop="1" x14ac:dyDescent="0.25">
      <c r="A3" s="7" t="s">
        <v>22</v>
      </c>
      <c r="B3" s="7" t="s">
        <v>23</v>
      </c>
      <c r="D3" s="7" t="s">
        <v>25</v>
      </c>
      <c r="E3" s="7" t="s">
        <v>7</v>
      </c>
      <c r="G3" s="7" t="s">
        <v>27</v>
      </c>
      <c r="H3" s="7" t="s">
        <v>25</v>
      </c>
      <c r="I3" s="7" t="s">
        <v>28</v>
      </c>
      <c r="J3" s="7" t="s">
        <v>29</v>
      </c>
    </row>
    <row r="4" spans="1:10" x14ac:dyDescent="0.25">
      <c r="A4">
        <v>1</v>
      </c>
      <c r="B4">
        <f t="array" ref="B4:B53">[1]!ADIFF('K = 4'!J12:J61,B1)</f>
        <v>-1700.8335416666669</v>
      </c>
      <c r="D4">
        <v>1</v>
      </c>
      <c r="E4">
        <f>[1]!ACF($B$4:$B$53,D4)</f>
        <v>0.35489199677857847</v>
      </c>
      <c r="G4" s="8" t="s">
        <v>30</v>
      </c>
      <c r="H4" s="8">
        <v>7</v>
      </c>
      <c r="I4" s="8">
        <f>[1]!LJUNG(B4:B53,0,H4)</f>
        <v>46.937496106773651</v>
      </c>
      <c r="J4" s="8">
        <f>_xlfn.CHISQ.DIST.RT(I4,H4)</f>
        <v>5.7409187906975409E-8</v>
      </c>
    </row>
    <row r="5" spans="1:10" x14ac:dyDescent="0.25">
      <c r="A5">
        <f>A4+1</f>
        <v>2</v>
      </c>
      <c r="B5">
        <v>362.50604166668199</v>
      </c>
      <c r="D5">
        <f>D4+1</f>
        <v>2</v>
      </c>
      <c r="E5">
        <f>[1]!ACF($B$4:$B$53,D5)</f>
        <v>-0.30536357314223395</v>
      </c>
    </row>
    <row r="6" spans="1:10" x14ac:dyDescent="0.25">
      <c r="A6">
        <f t="shared" ref="A6:A53" si="0">A5+1</f>
        <v>3</v>
      </c>
      <c r="B6">
        <v>-2180.8397916666727</v>
      </c>
      <c r="D6">
        <f t="shared" ref="D6:D10" si="1">D5+1</f>
        <v>3</v>
      </c>
      <c r="E6">
        <f>[1]!ACF($B$4:$B$53,D6)</f>
        <v>-0.58378232136335129</v>
      </c>
    </row>
    <row r="7" spans="1:10" x14ac:dyDescent="0.25">
      <c r="A7">
        <f t="shared" si="0"/>
        <v>4</v>
      </c>
      <c r="B7">
        <v>-90.418958333339106</v>
      </c>
      <c r="D7">
        <f t="shared" si="1"/>
        <v>4</v>
      </c>
      <c r="E7">
        <f>[1]!ACF($B$4:$B$53,D7)</f>
        <v>-0.32996507729146696</v>
      </c>
    </row>
    <row r="8" spans="1:10" x14ac:dyDescent="0.25">
      <c r="A8">
        <f t="shared" si="0"/>
        <v>5</v>
      </c>
      <c r="B8">
        <v>4562.0914583333397</v>
      </c>
      <c r="D8">
        <f t="shared" si="1"/>
        <v>5</v>
      </c>
      <c r="E8">
        <f>[1]!ACF($B$4:$B$53,D8)</f>
        <v>0.176790951218014</v>
      </c>
    </row>
    <row r="9" spans="1:10" x14ac:dyDescent="0.25">
      <c r="A9">
        <f t="shared" si="0"/>
        <v>6</v>
      </c>
      <c r="B9">
        <v>2023.9081249999981</v>
      </c>
      <c r="D9">
        <f t="shared" si="1"/>
        <v>6</v>
      </c>
      <c r="E9">
        <f>[1]!ACF($B$4:$B$53,D9)</f>
        <v>0.36605807812922092</v>
      </c>
    </row>
    <row r="10" spans="1:10" x14ac:dyDescent="0.25">
      <c r="A10">
        <f t="shared" si="0"/>
        <v>7</v>
      </c>
      <c r="B10">
        <v>1630.3206249999857</v>
      </c>
      <c r="D10" s="5">
        <f t="shared" si="1"/>
        <v>7</v>
      </c>
      <c r="E10" s="5">
        <f>[1]!ACF($B$4:$B$53,D10)</f>
        <v>8.8439257472086238E-2</v>
      </c>
    </row>
    <row r="11" spans="1:10" x14ac:dyDescent="0.25">
      <c r="A11">
        <f t="shared" si="0"/>
        <v>8</v>
      </c>
      <c r="B11">
        <v>-608.81270833332383</v>
      </c>
    </row>
    <row r="12" spans="1:10" x14ac:dyDescent="0.25">
      <c r="A12">
        <f t="shared" si="0"/>
        <v>9</v>
      </c>
      <c r="B12">
        <v>-8837.2252083333333</v>
      </c>
    </row>
    <row r="13" spans="1:10" x14ac:dyDescent="0.25">
      <c r="A13">
        <f t="shared" si="0"/>
        <v>10</v>
      </c>
      <c r="B13">
        <v>-1725.1814583333253</v>
      </c>
    </row>
    <row r="14" spans="1:10" x14ac:dyDescent="0.25">
      <c r="A14">
        <f t="shared" si="0"/>
        <v>11</v>
      </c>
      <c r="B14">
        <v>-1042.7481250000019</v>
      </c>
    </row>
    <row r="15" spans="1:10" x14ac:dyDescent="0.25">
      <c r="A15">
        <f t="shared" si="0"/>
        <v>12</v>
      </c>
      <c r="B15">
        <v>3813.0081249999857</v>
      </c>
    </row>
    <row r="16" spans="1:10" x14ac:dyDescent="0.25">
      <c r="A16">
        <f t="shared" si="0"/>
        <v>13</v>
      </c>
      <c r="B16">
        <v>4581.797708333339</v>
      </c>
    </row>
    <row r="17" spans="1:2" x14ac:dyDescent="0.25">
      <c r="A17">
        <f t="shared" si="0"/>
        <v>14</v>
      </c>
      <c r="B17">
        <v>3148.4310416666667</v>
      </c>
    </row>
    <row r="18" spans="1:2" x14ac:dyDescent="0.25">
      <c r="A18">
        <f t="shared" si="0"/>
        <v>15</v>
      </c>
      <c r="B18">
        <v>-607.2085416666705</v>
      </c>
    </row>
    <row r="19" spans="1:2" x14ac:dyDescent="0.25">
      <c r="A19">
        <f t="shared" si="0"/>
        <v>16</v>
      </c>
      <c r="B19">
        <v>2066.6685416666733</v>
      </c>
    </row>
    <row r="20" spans="1:2" x14ac:dyDescent="0.25">
      <c r="A20">
        <f t="shared" si="0"/>
        <v>17</v>
      </c>
      <c r="B20">
        <v>2556.4914583333266</v>
      </c>
    </row>
    <row r="21" spans="1:2" x14ac:dyDescent="0.25">
      <c r="A21">
        <f t="shared" si="0"/>
        <v>18</v>
      </c>
      <c r="B21">
        <v>-2843.8356249999961</v>
      </c>
    </row>
    <row r="22" spans="1:2" x14ac:dyDescent="0.25">
      <c r="A22">
        <f t="shared" si="0"/>
        <v>19</v>
      </c>
      <c r="B22">
        <v>-4706.206458333334</v>
      </c>
    </row>
    <row r="23" spans="1:2" x14ac:dyDescent="0.25">
      <c r="A23">
        <f t="shared" si="0"/>
        <v>20</v>
      </c>
      <c r="B23">
        <v>-2314.1668749999953</v>
      </c>
    </row>
    <row r="24" spans="1:2" x14ac:dyDescent="0.25">
      <c r="A24">
        <f t="shared" si="0"/>
        <v>21</v>
      </c>
      <c r="B24">
        <v>-3139.8335416666632</v>
      </c>
    </row>
    <row r="25" spans="1:2" x14ac:dyDescent="0.25">
      <c r="A25">
        <f t="shared" si="0"/>
        <v>22</v>
      </c>
      <c r="B25">
        <v>-580.57520833333183</v>
      </c>
    </row>
    <row r="26" spans="1:2" x14ac:dyDescent="0.25">
      <c r="A26">
        <f t="shared" si="0"/>
        <v>23</v>
      </c>
      <c r="B26">
        <v>6490.3956250000047</v>
      </c>
    </row>
    <row r="27" spans="1:2" x14ac:dyDescent="0.25">
      <c r="A27">
        <f t="shared" si="0"/>
        <v>24</v>
      </c>
      <c r="B27">
        <v>3353.9268749999901</v>
      </c>
    </row>
    <row r="28" spans="1:2" x14ac:dyDescent="0.25">
      <c r="A28">
        <f t="shared" si="0"/>
        <v>25</v>
      </c>
      <c r="B28">
        <v>-1061.8877083333318</v>
      </c>
    </row>
    <row r="29" spans="1:2" x14ac:dyDescent="0.25">
      <c r="A29">
        <f t="shared" si="0"/>
        <v>26</v>
      </c>
      <c r="B29">
        <v>-3998.6397916666574</v>
      </c>
    </row>
    <row r="30" spans="1:2" x14ac:dyDescent="0.25">
      <c r="A30">
        <f t="shared" si="0"/>
        <v>27</v>
      </c>
      <c r="B30">
        <v>-385.95645833333037</v>
      </c>
    </row>
    <row r="31" spans="1:2" x14ac:dyDescent="0.25">
      <c r="A31">
        <f t="shared" si="0"/>
        <v>28</v>
      </c>
      <c r="B31">
        <v>2611.2935416666623</v>
      </c>
    </row>
    <row r="32" spans="1:2" x14ac:dyDescent="0.25">
      <c r="A32">
        <f t="shared" si="0"/>
        <v>29</v>
      </c>
      <c r="B32">
        <v>4361.2685416666682</v>
      </c>
    </row>
    <row r="33" spans="1:2" x14ac:dyDescent="0.25">
      <c r="A33">
        <f t="shared" si="0"/>
        <v>30</v>
      </c>
      <c r="B33">
        <v>1795.7497916666616</v>
      </c>
    </row>
    <row r="34" spans="1:2" x14ac:dyDescent="0.25">
      <c r="A34">
        <f t="shared" si="0"/>
        <v>31</v>
      </c>
      <c r="B34">
        <v>-2664.7397916666669</v>
      </c>
    </row>
    <row r="35" spans="1:2" x14ac:dyDescent="0.25">
      <c r="A35">
        <f t="shared" si="0"/>
        <v>32</v>
      </c>
      <c r="B35">
        <v>-1227.010624999999</v>
      </c>
    </row>
    <row r="36" spans="1:2" x14ac:dyDescent="0.25">
      <c r="A36">
        <f t="shared" si="0"/>
        <v>33</v>
      </c>
      <c r="B36">
        <v>-9163.7627083333355</v>
      </c>
    </row>
    <row r="37" spans="1:2" x14ac:dyDescent="0.25">
      <c r="A37">
        <f t="shared" si="0"/>
        <v>34</v>
      </c>
      <c r="B37">
        <v>336.33729166667035</v>
      </c>
    </row>
    <row r="38" spans="1:2" x14ac:dyDescent="0.25">
      <c r="A38">
        <f t="shared" si="0"/>
        <v>35</v>
      </c>
      <c r="B38">
        <v>3872.2102083333448</v>
      </c>
    </row>
    <row r="39" spans="1:2" x14ac:dyDescent="0.25">
      <c r="A39">
        <f t="shared" si="0"/>
        <v>36</v>
      </c>
      <c r="B39">
        <v>-644.23770833333401</v>
      </c>
    </row>
    <row r="40" spans="1:2" x14ac:dyDescent="0.25">
      <c r="A40">
        <f t="shared" si="0"/>
        <v>37</v>
      </c>
      <c r="B40">
        <v>-4335.8397916666618</v>
      </c>
    </row>
    <row r="41" spans="1:2" x14ac:dyDescent="0.25">
      <c r="A41">
        <f t="shared" si="0"/>
        <v>38</v>
      </c>
      <c r="B41">
        <v>-5165.3647916666741</v>
      </c>
    </row>
    <row r="42" spans="1:2" x14ac:dyDescent="0.25">
      <c r="A42">
        <f t="shared" si="0"/>
        <v>39</v>
      </c>
      <c r="B42">
        <v>1883.7331250000025</v>
      </c>
    </row>
    <row r="43" spans="1:2" x14ac:dyDescent="0.25">
      <c r="A43">
        <f t="shared" si="0"/>
        <v>40</v>
      </c>
      <c r="B43">
        <v>9066.6497916666667</v>
      </c>
    </row>
    <row r="44" spans="1:2" x14ac:dyDescent="0.25">
      <c r="A44">
        <f t="shared" si="0"/>
        <v>41</v>
      </c>
      <c r="B44">
        <v>6864.0352083333382</v>
      </c>
    </row>
    <row r="45" spans="1:2" x14ac:dyDescent="0.25">
      <c r="A45">
        <f t="shared" si="0"/>
        <v>42</v>
      </c>
      <c r="B45">
        <v>-4116.0918750000037</v>
      </c>
    </row>
    <row r="46" spans="1:2" x14ac:dyDescent="0.25">
      <c r="A46">
        <f t="shared" si="0"/>
        <v>43</v>
      </c>
      <c r="B46">
        <v>-6073.7002083333409</v>
      </c>
    </row>
    <row r="47" spans="1:2" x14ac:dyDescent="0.25">
      <c r="A47">
        <f t="shared" si="0"/>
        <v>44</v>
      </c>
      <c r="B47">
        <v>-3224.7168749999983</v>
      </c>
    </row>
    <row r="48" spans="1:2" x14ac:dyDescent="0.25">
      <c r="A48">
        <f t="shared" si="0"/>
        <v>45</v>
      </c>
      <c r="B48">
        <v>1093.1685416666678</v>
      </c>
    </row>
    <row r="49" spans="1:2" x14ac:dyDescent="0.25">
      <c r="A49">
        <f t="shared" si="0"/>
        <v>46</v>
      </c>
      <c r="B49">
        <v>8885.0143749999988</v>
      </c>
    </row>
    <row r="50" spans="1:2" x14ac:dyDescent="0.25">
      <c r="A50">
        <f t="shared" si="0"/>
        <v>47</v>
      </c>
      <c r="B50">
        <v>4534.8664583333339</v>
      </c>
    </row>
    <row r="51" spans="1:2" x14ac:dyDescent="0.25">
      <c r="A51">
        <f t="shared" si="0"/>
        <v>48</v>
      </c>
      <c r="B51">
        <v>560.24770833333605</v>
      </c>
    </row>
    <row r="52" spans="1:2" x14ac:dyDescent="0.25">
      <c r="A52">
        <f t="shared" si="0"/>
        <v>49</v>
      </c>
      <c r="B52">
        <v>-7355.0377083333315</v>
      </c>
    </row>
    <row r="53" spans="1:2" x14ac:dyDescent="0.25">
      <c r="A53" s="5">
        <f t="shared" si="0"/>
        <v>50</v>
      </c>
      <c r="B53" s="5">
        <v>-659.24812500000553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43CE8-0E51-4570-ADF2-728AF6DC3F69}">
  <dimension ref="A1:H21"/>
  <sheetViews>
    <sheetView workbookViewId="0">
      <selection activeCell="N1" sqref="N1"/>
    </sheetView>
  </sheetViews>
  <sheetFormatPr defaultRowHeight="14.3" x14ac:dyDescent="0.25"/>
  <sheetData>
    <row r="1" spans="1:8" x14ac:dyDescent="0.25">
      <c r="A1" t="s">
        <v>31</v>
      </c>
      <c r="D1" t="s">
        <v>50</v>
      </c>
      <c r="E1" s="3">
        <v>2.2000000000000002</v>
      </c>
      <c r="G1" t="s">
        <v>62</v>
      </c>
    </row>
    <row r="3" spans="1:8" x14ac:dyDescent="0.25">
      <c r="A3" s="9"/>
      <c r="B3" s="10">
        <f>'K = 4'!J12</f>
        <v>-1700.8335416666669</v>
      </c>
      <c r="E3" s="11">
        <f>'K = 4'!J12</f>
        <v>-1700.8335416666669</v>
      </c>
      <c r="G3" s="9"/>
      <c r="H3" s="10">
        <f>'K = 4'!J12</f>
        <v>-1700.8335416666669</v>
      </c>
    </row>
    <row r="4" spans="1:8" x14ac:dyDescent="0.25">
      <c r="A4" t="s">
        <v>32</v>
      </c>
      <c r="B4" s="2">
        <f>AVERAGE('K = 4'!J13:J61)</f>
        <v>34.710888605442555</v>
      </c>
      <c r="D4" t="s">
        <v>53</v>
      </c>
      <c r="E4" s="12">
        <f>E11-$E18</f>
        <v>0</v>
      </c>
      <c r="G4" t="s">
        <v>63</v>
      </c>
      <c r="H4">
        <f>[1]!SHAPIRO('K = 4'!J13:J61)</f>
        <v>0.98957038590281621</v>
      </c>
    </row>
    <row r="5" spans="1:8" x14ac:dyDescent="0.25">
      <c r="A5" t="s">
        <v>33</v>
      </c>
      <c r="B5">
        <f>_xlfn.STDEV.S('K = 4'!J13:J61)/SQRT(COUNT('K = 4'!J13:J61))</f>
        <v>591.63513152815301</v>
      </c>
      <c r="D5" t="s">
        <v>57</v>
      </c>
      <c r="E5" s="13">
        <f>MAX(E12-E11,0)</f>
        <v>6499.0229166666686</v>
      </c>
      <c r="G5" t="s">
        <v>29</v>
      </c>
      <c r="H5">
        <f>[1]!SWTEST('K = 4'!J13:J61)</f>
        <v>0.93957150352644492</v>
      </c>
    </row>
    <row r="6" spans="1:8" x14ac:dyDescent="0.25">
      <c r="A6" t="s">
        <v>34</v>
      </c>
      <c r="B6" s="2">
        <f>MEDIAN('K = 4'!J13:J61)</f>
        <v>-385.95645833333037</v>
      </c>
      <c r="D6" t="s">
        <v>58</v>
      </c>
      <c r="E6" s="13">
        <f t="shared" ref="E6:E8" si="0">MAX(E13-E12,0)</f>
        <v>2278.7833333333365</v>
      </c>
      <c r="G6" t="s">
        <v>8</v>
      </c>
      <c r="H6">
        <v>0.05</v>
      </c>
    </row>
    <row r="7" spans="1:8" x14ac:dyDescent="0.25">
      <c r="A7" t="s">
        <v>35</v>
      </c>
      <c r="B7" t="e">
        <f>MODE('K = 4'!J13:J61)</f>
        <v>#N/A</v>
      </c>
      <c r="D7" t="s">
        <v>59</v>
      </c>
      <c r="E7" s="13">
        <f t="shared" si="0"/>
        <v>2997.2499999999927</v>
      </c>
      <c r="G7" s="5" t="s">
        <v>64</v>
      </c>
      <c r="H7" s="16" t="str">
        <f>IF(H5&lt;H6,"no","yes")</f>
        <v>yes</v>
      </c>
    </row>
    <row r="8" spans="1:8" x14ac:dyDescent="0.25">
      <c r="A8" t="s">
        <v>36</v>
      </c>
      <c r="B8">
        <f>_xlfn.STDEV.S('K = 4'!J13:J61)</f>
        <v>4141.4459206970714</v>
      </c>
      <c r="D8" t="s">
        <v>60</v>
      </c>
      <c r="E8" s="13">
        <f t="shared" si="0"/>
        <v>6455.3562500000044</v>
      </c>
    </row>
    <row r="9" spans="1:8" x14ac:dyDescent="0.25">
      <c r="A9" t="s">
        <v>37</v>
      </c>
      <c r="B9">
        <f>_xlfn.VAR.S('K = 4'!J13:J61)</f>
        <v>17151574.314058416</v>
      </c>
      <c r="D9" t="s">
        <v>32</v>
      </c>
      <c r="E9" s="15">
        <f>E16-$E18</f>
        <v>9198.4735969387784</v>
      </c>
      <c r="G9" t="s">
        <v>65</v>
      </c>
    </row>
    <row r="10" spans="1:8" x14ac:dyDescent="0.25">
      <c r="A10" t="s">
        <v>38</v>
      </c>
      <c r="B10">
        <f>KURT('K = 4'!J13:J61)</f>
        <v>-3.58044815478058E-2</v>
      </c>
    </row>
    <row r="11" spans="1:8" x14ac:dyDescent="0.25">
      <c r="A11" t="s">
        <v>39</v>
      </c>
      <c r="B11">
        <f>SKEW('K = 4'!J13:J61)</f>
        <v>-3.0883554612481039E-2</v>
      </c>
      <c r="D11" t="s">
        <v>53</v>
      </c>
      <c r="E11" s="12">
        <f t="array" ref="E11">MIN(IF(ISBLANK('K = 4'!J13:J61),"",IF('K = 4'!J13:J61&gt;=E12-$E1*(E14-E12),'K = 4'!J13:J61,"")))</f>
        <v>-9163.7627083333355</v>
      </c>
      <c r="G11" s="17" t="s">
        <v>66</v>
      </c>
      <c r="H11" s="17">
        <f>[1]!DAGOSTINO('K = 4'!J13:J61)</f>
        <v>3.503950186440026E-2</v>
      </c>
    </row>
    <row r="12" spans="1:8" x14ac:dyDescent="0.25">
      <c r="A12" t="s">
        <v>40</v>
      </c>
      <c r="B12">
        <f>B13-B14</f>
        <v>18230.412500000002</v>
      </c>
      <c r="D12" t="s">
        <v>54</v>
      </c>
      <c r="E12" s="13">
        <f>_xlfn.QUARTILE.INC('K = 4'!J13:J61,1)</f>
        <v>-2664.7397916666669</v>
      </c>
      <c r="G12" t="s">
        <v>29</v>
      </c>
      <c r="H12">
        <f>[1]!DPTEST('K = 4'!J13:J61)</f>
        <v>0.98263282755905501</v>
      </c>
    </row>
    <row r="13" spans="1:8" x14ac:dyDescent="0.25">
      <c r="A13" t="s">
        <v>41</v>
      </c>
      <c r="B13" s="2">
        <f>MAX('K = 4'!J13:J61)</f>
        <v>9066.6497916666667</v>
      </c>
      <c r="D13" t="s">
        <v>34</v>
      </c>
      <c r="E13" s="14">
        <f>MEDIAN('K = 4'!J13:J61)</f>
        <v>-385.95645833333037</v>
      </c>
      <c r="G13" t="s">
        <v>8</v>
      </c>
      <c r="H13">
        <v>0.05</v>
      </c>
    </row>
    <row r="14" spans="1:8" x14ac:dyDescent="0.25">
      <c r="A14" t="s">
        <v>42</v>
      </c>
      <c r="B14" s="2">
        <f>MIN('K = 4'!J13:J61)</f>
        <v>-9163.7627083333355</v>
      </c>
      <c r="D14" t="s">
        <v>55</v>
      </c>
      <c r="E14" s="13">
        <f>_xlfn.QUARTILE.INC('K = 4'!J13:J61,3)</f>
        <v>2611.2935416666623</v>
      </c>
      <c r="G14" s="5" t="s">
        <v>64</v>
      </c>
      <c r="H14" s="16" t="str">
        <f>IF(H12&lt;H13,"no","yes")</f>
        <v>yes</v>
      </c>
    </row>
    <row r="15" spans="1:8" x14ac:dyDescent="0.25">
      <c r="A15" t="s">
        <v>43</v>
      </c>
      <c r="B15" s="2">
        <f>SUM('K = 4'!J13:J61)</f>
        <v>1700.8335416666851</v>
      </c>
      <c r="D15" t="s">
        <v>56</v>
      </c>
      <c r="E15" s="13">
        <f t="array" ref="E15">MAX(IF(ISBLANK('K = 4'!J13:J61),"",IF('K = 4'!J13:J61&lt;=E14+$E1*(E14-E12),'K = 4'!J13:J61,"")))</f>
        <v>9066.6497916666667</v>
      </c>
    </row>
    <row r="16" spans="1:8" x14ac:dyDescent="0.25">
      <c r="A16" t="s">
        <v>44</v>
      </c>
      <c r="B16">
        <f>COUNT('K = 4'!J13:J61)</f>
        <v>49</v>
      </c>
      <c r="D16" t="s">
        <v>32</v>
      </c>
      <c r="E16" s="15">
        <f>AVERAGE('K = 4'!J13:J61)</f>
        <v>34.710888605442555</v>
      </c>
    </row>
    <row r="17" spans="1:5" x14ac:dyDescent="0.25">
      <c r="A17" t="s">
        <v>45</v>
      </c>
      <c r="B17" t="e">
        <f>GEOMEAN('K = 4'!J13:J61)</f>
        <v>#NUM!</v>
      </c>
    </row>
    <row r="18" spans="1:5" x14ac:dyDescent="0.25">
      <c r="A18" t="s">
        <v>46</v>
      </c>
      <c r="B18" t="e">
        <f>HARMEAN('K = 4'!J13:J61)</f>
        <v>#NUM!</v>
      </c>
      <c r="D18" t="s">
        <v>51</v>
      </c>
      <c r="E18" s="3">
        <f>IF(MIN(E11)&gt;=0,0,MIN(E11))</f>
        <v>-9163.7627083333355</v>
      </c>
    </row>
    <row r="19" spans="1:5" x14ac:dyDescent="0.25">
      <c r="A19" t="s">
        <v>47</v>
      </c>
      <c r="B19">
        <f>AVEDEV('K = 4'!J13:J61)</f>
        <v>3251.255908996251</v>
      </c>
    </row>
    <row r="20" spans="1:5" x14ac:dyDescent="0.25">
      <c r="A20" t="s">
        <v>48</v>
      </c>
      <c r="B20">
        <f>[1]!MAD('K = 4'!J13:J61)</f>
        <v>2753.8770833333328</v>
      </c>
      <c r="D20" t="s">
        <v>52</v>
      </c>
      <c r="E20" t="s">
        <v>61</v>
      </c>
    </row>
    <row r="21" spans="1:5" x14ac:dyDescent="0.25">
      <c r="A21" s="5" t="s">
        <v>49</v>
      </c>
      <c r="B21" s="5">
        <f>[1]!IQR('K = 4'!J13:J61,FALSE)</f>
        <v>5276.0333333333292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Correlogram</vt:lpstr>
      <vt:lpstr>K = 3</vt:lpstr>
      <vt:lpstr>Shapiro Wilk Test</vt:lpstr>
      <vt:lpstr>Ljung Box Text</vt:lpstr>
      <vt:lpstr>K = 5</vt:lpstr>
      <vt:lpstr>Ljung Box Test (K = 5)</vt:lpstr>
      <vt:lpstr>Shapiro Wilk Test (K = 5)</vt:lpstr>
      <vt:lpstr>K = 4</vt:lpstr>
      <vt:lpstr>Ljung Box Test (K = 4)</vt:lpstr>
      <vt:lpstr>Shapiro Wilk Test (K = 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Aryan P. Bhavsar</cp:lastModifiedBy>
  <dcterms:created xsi:type="dcterms:W3CDTF">2026-09-08T10:41:08Z</dcterms:created>
  <dcterms:modified xsi:type="dcterms:W3CDTF">2026-10-29T12:46:58Z</dcterms:modified>
</cp:coreProperties>
</file>